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URA_PROV-DIST" sheetId="1" r:id="rId4"/>
  </sheets>
  <definedNames>
    <definedName localSheetId="0" name="CALLAO">#REF!</definedName>
    <definedName localSheetId="0" name="BUENA_VISTA_ALTA">#REF!</definedName>
    <definedName name="BUENA_VISTA_ALTA">#REF!</definedName>
    <definedName name="DIST._CASMA">#REF!</definedName>
    <definedName name="YOLA">#REF!</definedName>
    <definedName name="AS">#REF!</definedName>
    <definedName localSheetId="0" name="CASMA">#REF!</definedName>
    <definedName name="A">#REF!</definedName>
    <definedName name="B">#REF!</definedName>
    <definedName localSheetId="0" name="DIST._CASMA">#REF!</definedName>
    <definedName name="CASMA">#REF!</definedName>
    <definedName name="CALLAO">#REF!</definedName>
  </definedNames>
  <calcPr/>
  <extLst>
    <ext uri="GoogleSheetsCustomDataVersion2">
      <go:sheetsCustomData xmlns:go="http://customooxmlschemas.google.com/" r:id="rId5" roundtripDataChecksum="OWacAQJ3JM3fdvsc/YM52xV6+ZGRUvloSzUpzHF3EE0="/>
    </ext>
  </extLst>
</workbook>
</file>

<file path=xl/sharedStrings.xml><?xml version="1.0" encoding="utf-8"?>
<sst xmlns="http://schemas.openxmlformats.org/spreadsheetml/2006/main" count="146" uniqueCount="105">
  <si>
    <t>TABLA 1 : CONSOLIDADO DE EMERGENCIAS, DAÑOS PERSONALES Y MATERIALES SEGÚN PROVINCIAS DEL DEPARTAMENTO DE PIURA, PERIODO 2003-2024</t>
  </si>
  <si>
    <t>PROVINCIAS DE PIURA</t>
  </si>
  <si>
    <t>EMERGENCIA</t>
  </si>
  <si>
    <t>DAÑOS PERSONALES (PERSONA)</t>
  </si>
  <si>
    <t>DAÑOS MATERIALES</t>
  </si>
  <si>
    <t xml:space="preserve"> VIVIENDAS   (UNIDAD)</t>
  </si>
  <si>
    <t>CENTROS DE SALUD (UNIDAD)</t>
  </si>
  <si>
    <t>CULTIVO (HAS)</t>
  </si>
  <si>
    <t>PUENTES (UNIDAD)</t>
  </si>
  <si>
    <t>CARRETERAS (KILÓMETRO)</t>
  </si>
  <si>
    <t>AFECT</t>
  </si>
  <si>
    <t>DAMNIF</t>
  </si>
  <si>
    <t>DESAP</t>
  </si>
  <si>
    <t>LESION</t>
  </si>
  <si>
    <t>FALLEC</t>
  </si>
  <si>
    <t>DESTR</t>
  </si>
  <si>
    <t>PERD</t>
  </si>
  <si>
    <t>TOTAL</t>
  </si>
  <si>
    <t>AYABACA</t>
  </si>
  <si>
    <t>HUANCABAMBA</t>
  </si>
  <si>
    <t>MORROPON</t>
  </si>
  <si>
    <t>PAITA</t>
  </si>
  <si>
    <t>PIURA</t>
  </si>
  <si>
    <t>SECHURA</t>
  </si>
  <si>
    <t>SULLANA</t>
  </si>
  <si>
    <t>TALARA</t>
  </si>
  <si>
    <t>Fuente : SINPAD - COEN - INDECI</t>
  </si>
  <si>
    <t>Elaboración :  Sub Dirección de Aplicaciones Estadísticas - DIPPE - INDECI</t>
  </si>
  <si>
    <t>TABLA 2 : CONSOLIDADO DE EMERGENCIAS, DAÑOS PERSONALES Y MATERIALES CLASIFICADO POR PROVINCIAS Y DISTRITOS DEL DEPARTAMENTO DE PIURA, PERIODO 2003-2024</t>
  </si>
  <si>
    <t>DISTRITOS</t>
  </si>
  <si>
    <t>TOTAL GENERAL</t>
  </si>
  <si>
    <t>SUB TOTAL PROV. AYABACA</t>
  </si>
  <si>
    <t>PROVINCIA DE AYABACA</t>
  </si>
  <si>
    <t>FRÍAS</t>
  </si>
  <si>
    <t>JILILI</t>
  </si>
  <si>
    <t>LAGUNAS</t>
  </si>
  <si>
    <t>MONTERO</t>
  </si>
  <si>
    <t>PACAIPAMPA</t>
  </si>
  <si>
    <t>PAIMAS</t>
  </si>
  <si>
    <t>SAPILLICA</t>
  </si>
  <si>
    <t>SICCHEZ</t>
  </si>
  <si>
    <t>SUYO</t>
  </si>
  <si>
    <t>SUB TOTAL PROV. HUANCABAMBA</t>
  </si>
  <si>
    <t>PROVINCIA DE HUANCABAMBA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</si>
  <si>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</si>
  <si>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</si>
  <si>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</si>
  <si>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</si>
  <si>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</si>
  <si>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</si>
  <si>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</si>
  <si>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SUB TOTAL PROV. MORROPÓN</t>
  </si>
  <si>
    <t>PROVINCIA DE MORROPÓN</t>
  </si>
  <si>
    <t>BUENOS AIRES</t>
  </si>
  <si>
    <t>CHALACO</t>
  </si>
  <si>
    <t>CHULUCANAS</t>
  </si>
  <si>
    <t>LA MATANZA</t>
  </si>
  <si>
    <t>MORROPÓN</t>
  </si>
  <si>
    <t>SALITRAL</t>
  </si>
  <si>
    <t>SAN JUAN DE BIGOTE</t>
  </si>
  <si>
    <t>SANTA CATALINA DE MOSSA</t>
  </si>
  <si>
    <t>SANTO DOMINGO</t>
  </si>
  <si>
    <t>YAMANGO</t>
  </si>
  <si>
    <t>SUB TOTAL PROV. PAITA</t>
  </si>
  <si>
    <t>PROVINCIA DE PAITA</t>
  </si>
  <si>
    <t>AMOTAPE</t>
  </si>
  <si>
    <t>ARENAL</t>
  </si>
  <si>
    <t>COLÁN</t>
  </si>
  <si>
    <t>LA HUACA</t>
  </si>
  <si>
    <t>TAMARINDO</t>
  </si>
  <si>
    <t>VICHAYAL</t>
  </si>
  <si>
    <t>SUB TOTAL PROV. PIURA</t>
  </si>
  <si>
    <t>PROVINCIA DE PIURA</t>
  </si>
  <si>
    <t>CASTILLA</t>
  </si>
  <si>
    <t>CATACAOS</t>
  </si>
  <si>
    <t>CURA MORI</t>
  </si>
  <si>
    <t>EL TALLÁN</t>
  </si>
  <si>
    <t>LA ARENA</t>
  </si>
  <si>
    <t>LA UNIÓN</t>
  </si>
  <si>
    <t>LAS LOMAS</t>
  </si>
  <si>
    <t>TAMBO GRANDE</t>
  </si>
  <si>
    <t>VEINTISÉIS DE OCTUBRE</t>
  </si>
  <si>
    <t>SUB TOTAL PROV. SECHURA</t>
  </si>
  <si>
    <t>PROVINCIA DE SECHURA</t>
  </si>
  <si>
    <t>BELLAVISTA DE LA UNIÓN</t>
  </si>
  <si>
    <t>BERNAL</t>
  </si>
  <si>
    <t>CRISTO NOS VALGA</t>
  </si>
  <si>
    <t>RINCONADA LLICUAR</t>
  </si>
  <si>
    <t>VICE</t>
  </si>
  <si>
    <t>SUB TOTAL PROV. SULLANA</t>
  </si>
  <si>
    <t>PROVINCIA DE SULLANA</t>
  </si>
  <si>
    <t>BELLAVISTA</t>
  </si>
  <si>
    <t>IGNACIO ESCUDERO</t>
  </si>
  <si>
    <t>LANCONES</t>
  </si>
  <si>
    <t>MARCAVELICA</t>
  </si>
  <si>
    <t>MIGUEL CHECA</t>
  </si>
  <si>
    <t>QUERECOTILLO</t>
  </si>
  <si>
    <t>SUB TOTAL PROV. TALARA</t>
  </si>
  <si>
    <t>PROVINCIA DE TALARA</t>
  </si>
  <si>
    <t>EL ALTO</t>
  </si>
  <si>
    <t>LA BREA</t>
  </si>
  <si>
    <t>LOBITOS</t>
  </si>
  <si>
    <t>LOS ÓRGANOS</t>
  </si>
  <si>
    <t>MÁNCORA</t>
  </si>
  <si>
    <t>PARIÑAS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</si>
</sst>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#,##0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/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3" fontId="1" numFmtId="0" xfId="0" applyAlignment="1" applyBorder="1" applyFill="1" applyFont="1">
      <alignment horizontal="center" shrinkToFit="0" vertical="center" wrapText="1"/>
    </xf>
    <xf borderId="13" fillId="4" fontId="1" numFmtId="3" xfId="0" applyAlignment="1" applyBorder="1" applyFill="1" applyFont="1" applyNumberFormat="1">
      <alignment horizontal="center" vertical="center"/>
    </xf>
    <xf borderId="13" fillId="3" fontId="1" numFmtId="0" xfId="0" applyAlignment="1" applyBorder="1" applyFont="1">
      <alignment horizontal="left" vertical="center"/>
    </xf>
    <xf borderId="13" fillId="5" fontId="2" numFmtId="3" xfId="0" applyAlignment="1" applyBorder="1" applyFill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/>
    </xf>
    <xf borderId="15" fillId="4" fontId="1" numFmtId="0" xfId="0" applyAlignment="1" applyBorder="1" applyFont="1">
      <alignment horizontal="center" shrinkToFit="0" vertical="center" wrapText="1"/>
    </xf>
    <xf borderId="13" fillId="6" fontId="1" numFmtId="0" xfId="0" applyAlignment="1" applyBorder="1" applyFill="1" applyFont="1">
      <alignment horizontal="left" vertical="center"/>
    </xf>
    <xf borderId="13" fillId="6" fontId="1" numFmtId="164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3" fillId="0" fontId="2" numFmtId="164" xfId="0" applyAlignment="1" applyBorder="1" applyFont="1" applyNumberFormat="1">
      <alignment horizontal="left"/>
    </xf>
    <xf borderId="13" fillId="0" fontId="2" numFmtId="164" xfId="0" applyAlignment="1" applyBorder="1" applyFont="1" applyNumberFormat="1">
      <alignment horizontal="center"/>
    </xf>
    <xf borderId="15" fillId="6" fontId="1" numFmtId="0" xfId="0" applyAlignment="1" applyBorder="1" applyFont="1">
      <alignment horizontal="left" vertical="center"/>
    </xf>
    <xf borderId="1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525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3.43"/>
    <col customWidth="1" min="3" max="5" width="10.71"/>
    <col customWidth="1" min="6" max="6" width="11.29"/>
    <col customWidth="1" min="7" max="7" width="9.29"/>
    <col customWidth="1" min="8" max="8" width="8.43"/>
    <col customWidth="1" min="9" max="9" width="7.14"/>
    <col customWidth="1" min="10" max="10" width="6.29"/>
    <col customWidth="1" min="11" max="11" width="6.57"/>
    <col customWidth="1" min="12" max="12" width="9.14"/>
    <col customWidth="1" min="13" max="13" width="10.71"/>
    <col customWidth="1" min="14" max="14" width="7.29"/>
    <col customWidth="1" min="15" max="15" width="8.43"/>
    <col customWidth="1" min="16" max="17" width="7.71"/>
    <col customWidth="1" min="18" max="18" width="9.29"/>
    <col customWidth="1" min="19" max="26" width="10.71"/>
  </cols>
  <sheetData>
    <row r="4">
      <c r="A4" s="1" t="s">
        <v>0</v>
      </c>
    </row>
    <row r="5" ht="18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23.25" customHeight="1">
      <c r="A6" s="3" t="s">
        <v>1</v>
      </c>
      <c r="B6" s="4" t="s">
        <v>2</v>
      </c>
      <c r="C6" s="5" t="s">
        <v>3</v>
      </c>
      <c r="D6" s="6"/>
      <c r="E6" s="6"/>
      <c r="F6" s="6"/>
      <c r="G6" s="7"/>
      <c r="H6" s="8" t="s">
        <v>4</v>
      </c>
      <c r="I6" s="9"/>
      <c r="J6" s="9"/>
      <c r="K6" s="9"/>
      <c r="L6" s="9"/>
      <c r="M6" s="9"/>
      <c r="N6" s="9"/>
      <c r="O6" s="9"/>
      <c r="P6" s="9"/>
      <c r="Q6" s="10"/>
    </row>
    <row r="7" ht="24.0" customHeight="1">
      <c r="A7" s="11"/>
      <c r="B7" s="11"/>
      <c r="C7" s="12"/>
      <c r="D7" s="13"/>
      <c r="E7" s="13"/>
      <c r="F7" s="13"/>
      <c r="G7" s="14"/>
      <c r="H7" s="15" t="s">
        <v>5</v>
      </c>
      <c r="I7" s="10"/>
      <c r="J7" s="15" t="s">
        <v>6</v>
      </c>
      <c r="K7" s="10"/>
      <c r="L7" s="15" t="s">
        <v>7</v>
      </c>
      <c r="M7" s="10"/>
      <c r="N7" s="15" t="s">
        <v>8</v>
      </c>
      <c r="O7" s="10"/>
      <c r="P7" s="15" t="s">
        <v>9</v>
      </c>
      <c r="Q7" s="10"/>
    </row>
    <row r="8" ht="15.0" customHeight="1">
      <c r="A8" s="16"/>
      <c r="B8" s="16"/>
      <c r="C8" s="17" t="s">
        <v>10</v>
      </c>
      <c r="D8" s="17" t="s">
        <v>11</v>
      </c>
      <c r="E8" s="17" t="s">
        <v>12</v>
      </c>
      <c r="F8" s="17" t="s">
        <v>13</v>
      </c>
      <c r="G8" s="17" t="s">
        <v>14</v>
      </c>
      <c r="H8" s="17" t="s">
        <v>10</v>
      </c>
      <c r="I8" s="17" t="s">
        <v>15</v>
      </c>
      <c r="J8" s="17" t="s">
        <v>10</v>
      </c>
      <c r="K8" s="17" t="s">
        <v>15</v>
      </c>
      <c r="L8" s="18" t="s">
        <v>10</v>
      </c>
      <c r="M8" s="17" t="s">
        <v>16</v>
      </c>
      <c r="N8" s="18" t="s">
        <v>10</v>
      </c>
      <c r="O8" s="17" t="s">
        <v>16</v>
      </c>
      <c r="P8" s="18" t="s">
        <v>10</v>
      </c>
      <c r="Q8" s="17" t="s">
        <v>16</v>
      </c>
    </row>
    <row r="9">
      <c r="A9" s="19" t="s">
        <v>17</v>
      </c>
      <c r="B9" s="20">
        <f t="shared" ref="B9:Q9" si="1">SUM(B10:B17)</f>
        <v>5412</v>
      </c>
      <c r="C9" s="20">
        <f t="shared" si="1"/>
        <v>1642188</v>
      </c>
      <c r="D9" s="20">
        <f t="shared" si="1"/>
        <v>225113</v>
      </c>
      <c r="E9" s="20">
        <f t="shared" si="1"/>
        <v>17</v>
      </c>
      <c r="F9" s="20">
        <f t="shared" si="1"/>
        <v>2810</v>
      </c>
      <c r="G9" s="20">
        <f t="shared" si="1"/>
        <v>151</v>
      </c>
      <c r="H9" s="20">
        <f t="shared" si="1"/>
        <v>334949</v>
      </c>
      <c r="I9" s="20">
        <f t="shared" si="1"/>
        <v>43881</v>
      </c>
      <c r="J9" s="20">
        <f t="shared" si="1"/>
        <v>1175</v>
      </c>
      <c r="K9" s="20">
        <f t="shared" si="1"/>
        <v>77</v>
      </c>
      <c r="L9" s="20">
        <f t="shared" si="1"/>
        <v>189858.381</v>
      </c>
      <c r="M9" s="20">
        <f t="shared" si="1"/>
        <v>65639.545</v>
      </c>
      <c r="N9" s="20">
        <f t="shared" si="1"/>
        <v>508</v>
      </c>
      <c r="O9" s="20">
        <f t="shared" si="1"/>
        <v>286</v>
      </c>
      <c r="P9" s="20">
        <f t="shared" si="1"/>
        <v>6411.93748</v>
      </c>
      <c r="Q9" s="20">
        <f t="shared" si="1"/>
        <v>2093.29498</v>
      </c>
    </row>
    <row r="10" ht="19.5" customHeight="1">
      <c r="A10" s="21" t="s">
        <v>18</v>
      </c>
      <c r="B10" s="22">
        <v>765.0</v>
      </c>
      <c r="C10" s="22">
        <v>285790.0</v>
      </c>
      <c r="D10" s="22">
        <v>30083.0</v>
      </c>
      <c r="E10" s="22">
        <v>2.0</v>
      </c>
      <c r="F10" s="22">
        <v>6.0</v>
      </c>
      <c r="G10" s="22">
        <v>13.0</v>
      </c>
      <c r="H10" s="22">
        <v>50153.0</v>
      </c>
      <c r="I10" s="22">
        <v>4003.0</v>
      </c>
      <c r="J10" s="22">
        <v>147.0</v>
      </c>
      <c r="K10" s="22">
        <v>13.0</v>
      </c>
      <c r="L10" s="22">
        <v>62596.126000000004</v>
      </c>
      <c r="M10" s="22">
        <v>8865.041000000001</v>
      </c>
      <c r="N10" s="23">
        <v>81.0</v>
      </c>
      <c r="O10" s="23">
        <v>44.0</v>
      </c>
      <c r="P10" s="22">
        <v>1428.6989000000003</v>
      </c>
      <c r="Q10" s="22">
        <v>461.6309</v>
      </c>
    </row>
    <row r="11" ht="19.5" customHeight="1">
      <c r="A11" s="21" t="s">
        <v>19</v>
      </c>
      <c r="B11" s="22">
        <v>727.0</v>
      </c>
      <c r="C11" s="22">
        <v>206197.0</v>
      </c>
      <c r="D11" s="22">
        <v>28188.0</v>
      </c>
      <c r="E11" s="22">
        <v>1.0</v>
      </c>
      <c r="F11" s="22">
        <v>297.0</v>
      </c>
      <c r="G11" s="22">
        <v>26.0</v>
      </c>
      <c r="H11" s="22">
        <v>37297.0</v>
      </c>
      <c r="I11" s="22">
        <v>5376.0</v>
      </c>
      <c r="J11" s="22">
        <v>185.0</v>
      </c>
      <c r="K11" s="22">
        <v>24.0</v>
      </c>
      <c r="L11" s="22">
        <v>40851.395</v>
      </c>
      <c r="M11" s="22">
        <v>10848.724999999999</v>
      </c>
      <c r="N11" s="23">
        <v>147.0</v>
      </c>
      <c r="O11" s="23">
        <v>141.0</v>
      </c>
      <c r="P11" s="22">
        <v>1557.2118799999998</v>
      </c>
      <c r="Q11" s="22">
        <v>511.84636</v>
      </c>
    </row>
    <row r="12" ht="19.5" customHeight="1">
      <c r="A12" s="21" t="s">
        <v>20</v>
      </c>
      <c r="B12" s="22">
        <v>623.0</v>
      </c>
      <c r="C12" s="22">
        <v>229963.0</v>
      </c>
      <c r="D12" s="22">
        <v>21160.0</v>
      </c>
      <c r="E12" s="22">
        <v>4.0</v>
      </c>
      <c r="F12" s="22">
        <v>45.0</v>
      </c>
      <c r="G12" s="22">
        <v>20.0</v>
      </c>
      <c r="H12" s="22">
        <v>50746.0</v>
      </c>
      <c r="I12" s="22">
        <v>4187.0</v>
      </c>
      <c r="J12" s="22">
        <v>204.0</v>
      </c>
      <c r="K12" s="22">
        <v>18.0</v>
      </c>
      <c r="L12" s="22">
        <v>27156.638</v>
      </c>
      <c r="M12" s="22">
        <v>5581.135</v>
      </c>
      <c r="N12" s="23">
        <v>113.0</v>
      </c>
      <c r="O12" s="23">
        <v>35.0</v>
      </c>
      <c r="P12" s="22">
        <v>1247.2206600000002</v>
      </c>
      <c r="Q12" s="22">
        <v>326.95486999999997</v>
      </c>
    </row>
    <row r="13" ht="19.5" customHeight="1">
      <c r="A13" s="21" t="s">
        <v>21</v>
      </c>
      <c r="B13" s="22">
        <v>377.0</v>
      </c>
      <c r="C13" s="22">
        <v>106764.0</v>
      </c>
      <c r="D13" s="22">
        <v>19291.0</v>
      </c>
      <c r="E13" s="22">
        <v>0.0</v>
      </c>
      <c r="F13" s="22">
        <v>46.0</v>
      </c>
      <c r="G13" s="22">
        <v>11.0</v>
      </c>
      <c r="H13" s="22">
        <v>24906.0</v>
      </c>
      <c r="I13" s="22">
        <v>2822.0</v>
      </c>
      <c r="J13" s="22">
        <v>141.0</v>
      </c>
      <c r="K13" s="22">
        <v>2.0</v>
      </c>
      <c r="L13" s="22">
        <v>5268.5470000000005</v>
      </c>
      <c r="M13" s="22">
        <v>3534.4700000000003</v>
      </c>
      <c r="N13" s="23">
        <v>31.0</v>
      </c>
      <c r="O13" s="23">
        <v>3.0</v>
      </c>
      <c r="P13" s="22">
        <v>420.8038600000001</v>
      </c>
      <c r="Q13" s="22">
        <v>167.083</v>
      </c>
    </row>
    <row r="14" ht="19.5" customHeight="1">
      <c r="A14" s="21" t="s">
        <v>22</v>
      </c>
      <c r="B14" s="22">
        <v>1785.0</v>
      </c>
      <c r="C14" s="22">
        <v>535949.0</v>
      </c>
      <c r="D14" s="22">
        <v>92813.0</v>
      </c>
      <c r="E14" s="22">
        <v>3.0</v>
      </c>
      <c r="F14" s="22">
        <v>2354.0</v>
      </c>
      <c r="G14" s="22">
        <v>60.0</v>
      </c>
      <c r="H14" s="22">
        <v>111292.0</v>
      </c>
      <c r="I14" s="22">
        <v>16138.0</v>
      </c>
      <c r="J14" s="22">
        <v>251.0</v>
      </c>
      <c r="K14" s="22">
        <v>9.0</v>
      </c>
      <c r="L14" s="22">
        <v>28015.715</v>
      </c>
      <c r="M14" s="22">
        <v>30913.394</v>
      </c>
      <c r="N14" s="23">
        <v>89.0</v>
      </c>
      <c r="O14" s="23">
        <v>48.0</v>
      </c>
      <c r="P14" s="22">
        <v>1151.41921</v>
      </c>
      <c r="Q14" s="22">
        <v>217.47843</v>
      </c>
    </row>
    <row r="15" ht="19.5" customHeight="1">
      <c r="A15" s="21" t="s">
        <v>23</v>
      </c>
      <c r="B15" s="22">
        <v>313.0</v>
      </c>
      <c r="C15" s="22">
        <v>60395.0</v>
      </c>
      <c r="D15" s="22">
        <v>9760.0</v>
      </c>
      <c r="E15" s="22">
        <v>7.0</v>
      </c>
      <c r="F15" s="22">
        <v>33.0</v>
      </c>
      <c r="G15" s="22">
        <v>5.0</v>
      </c>
      <c r="H15" s="22">
        <v>13813.0</v>
      </c>
      <c r="I15" s="22">
        <v>913.0</v>
      </c>
      <c r="J15" s="22">
        <v>58.0</v>
      </c>
      <c r="K15" s="22">
        <v>1.0</v>
      </c>
      <c r="L15" s="22">
        <v>10275.44</v>
      </c>
      <c r="M15" s="22">
        <v>5712.79</v>
      </c>
      <c r="N15" s="23">
        <v>31.0</v>
      </c>
      <c r="O15" s="23">
        <v>12.0</v>
      </c>
      <c r="P15" s="22">
        <v>175.32421999999997</v>
      </c>
      <c r="Q15" s="22">
        <v>160.69472</v>
      </c>
    </row>
    <row r="16" ht="19.5" customHeight="1">
      <c r="A16" s="21" t="s">
        <v>24</v>
      </c>
      <c r="B16" s="22">
        <v>578.0</v>
      </c>
      <c r="C16" s="22">
        <v>159933.0</v>
      </c>
      <c r="D16" s="22">
        <v>17611.0</v>
      </c>
      <c r="E16" s="22">
        <v>0.0</v>
      </c>
      <c r="F16" s="22">
        <v>21.0</v>
      </c>
      <c r="G16" s="22">
        <v>12.0</v>
      </c>
      <c r="H16" s="22">
        <v>32288.0</v>
      </c>
      <c r="I16" s="22">
        <v>5296.0</v>
      </c>
      <c r="J16" s="22">
        <v>134.0</v>
      </c>
      <c r="K16" s="22">
        <v>5.0</v>
      </c>
      <c r="L16" s="22">
        <v>15694.52</v>
      </c>
      <c r="M16" s="22">
        <v>183.99</v>
      </c>
      <c r="N16" s="23">
        <v>13.0</v>
      </c>
      <c r="O16" s="23">
        <v>3.0</v>
      </c>
      <c r="P16" s="22">
        <v>281.65874999999994</v>
      </c>
      <c r="Q16" s="22">
        <v>111.99669999999999</v>
      </c>
    </row>
    <row r="17" ht="19.5" customHeight="1">
      <c r="A17" s="21" t="s">
        <v>25</v>
      </c>
      <c r="B17" s="22">
        <v>244.0</v>
      </c>
      <c r="C17" s="22">
        <v>57197.0</v>
      </c>
      <c r="D17" s="22">
        <v>6207.0</v>
      </c>
      <c r="E17" s="22">
        <v>0.0</v>
      </c>
      <c r="F17" s="22">
        <v>8.0</v>
      </c>
      <c r="G17" s="22">
        <v>4.0</v>
      </c>
      <c r="H17" s="22">
        <v>14454.0</v>
      </c>
      <c r="I17" s="22">
        <v>5146.0</v>
      </c>
      <c r="J17" s="22">
        <v>55.0</v>
      </c>
      <c r="K17" s="22">
        <v>5.0</v>
      </c>
      <c r="L17" s="22">
        <v>0.0</v>
      </c>
      <c r="M17" s="22">
        <v>0.0</v>
      </c>
      <c r="N17" s="23">
        <v>3.0</v>
      </c>
      <c r="O17" s="23">
        <v>0.0</v>
      </c>
      <c r="P17" s="22">
        <v>149.6</v>
      </c>
      <c r="Q17" s="22">
        <v>135.61</v>
      </c>
    </row>
    <row r="18">
      <c r="A18" s="24" t="s">
        <v>26</v>
      </c>
      <c r="B18" s="6"/>
      <c r="C18" s="6"/>
      <c r="D18" s="6"/>
      <c r="E18" s="6"/>
    </row>
    <row r="19">
      <c r="A19" s="25" t="s">
        <v>27</v>
      </c>
    </row>
    <row r="20">
      <c r="B20" s="26"/>
      <c r="C20" s="26"/>
      <c r="D20" s="26"/>
      <c r="E20" s="26"/>
      <c r="F20" s="26"/>
      <c r="G20" s="26"/>
    </row>
    <row r="21" ht="15.75" customHeight="1">
      <c r="A21" s="27" t="s">
        <v>28</v>
      </c>
    </row>
    <row r="22" ht="15.75" customHeight="1"/>
    <row r="23" ht="15.75" customHeight="1">
      <c r="A23" s="3" t="s">
        <v>1</v>
      </c>
      <c r="B23" s="3" t="s">
        <v>29</v>
      </c>
      <c r="C23" s="4" t="s">
        <v>2</v>
      </c>
      <c r="D23" s="5" t="s">
        <v>3</v>
      </c>
      <c r="E23" s="6"/>
      <c r="F23" s="6"/>
      <c r="G23" s="6"/>
      <c r="H23" s="7"/>
      <c r="I23" s="8" t="s">
        <v>4</v>
      </c>
      <c r="J23" s="9"/>
      <c r="K23" s="9"/>
      <c r="L23" s="9"/>
      <c r="M23" s="9"/>
      <c r="N23" s="9"/>
      <c r="O23" s="9"/>
      <c r="P23" s="9"/>
      <c r="Q23" s="9"/>
      <c r="R23" s="10"/>
    </row>
    <row r="24" ht="22.5" customHeight="1">
      <c r="A24" s="11"/>
      <c r="B24" s="11"/>
      <c r="C24" s="11"/>
      <c r="D24" s="12"/>
      <c r="E24" s="13"/>
      <c r="F24" s="13"/>
      <c r="G24" s="13"/>
      <c r="H24" s="14"/>
      <c r="I24" s="15" t="s">
        <v>5</v>
      </c>
      <c r="J24" s="10"/>
      <c r="K24" s="15" t="s">
        <v>6</v>
      </c>
      <c r="L24" s="10"/>
      <c r="M24" s="15" t="s">
        <v>7</v>
      </c>
      <c r="N24" s="10"/>
      <c r="O24" s="15" t="s">
        <v>8</v>
      </c>
      <c r="P24" s="10"/>
      <c r="Q24" s="15" t="s">
        <v>9</v>
      </c>
      <c r="R24" s="10"/>
    </row>
    <row r="25" ht="15.75" customHeight="1">
      <c r="A25" s="16"/>
      <c r="B25" s="16"/>
      <c r="C25" s="16"/>
      <c r="D25" s="17" t="s">
        <v>10</v>
      </c>
      <c r="E25" s="17" t="s">
        <v>11</v>
      </c>
      <c r="F25" s="17" t="s">
        <v>12</v>
      </c>
      <c r="G25" s="17" t="s">
        <v>13</v>
      </c>
      <c r="H25" s="17" t="s">
        <v>14</v>
      </c>
      <c r="I25" s="17" t="s">
        <v>10</v>
      </c>
      <c r="J25" s="17" t="s">
        <v>15</v>
      </c>
      <c r="K25" s="17" t="s">
        <v>10</v>
      </c>
      <c r="L25" s="17" t="s">
        <v>15</v>
      </c>
      <c r="M25" s="18" t="s">
        <v>10</v>
      </c>
      <c r="N25" s="17" t="s">
        <v>16</v>
      </c>
      <c r="O25" s="18" t="s">
        <v>10</v>
      </c>
      <c r="P25" s="17" t="s">
        <v>16</v>
      </c>
      <c r="Q25" s="18" t="s">
        <v>10</v>
      </c>
      <c r="R25" s="17" t="s">
        <v>16</v>
      </c>
    </row>
    <row r="26" ht="15.75" customHeight="1">
      <c r="A26" s="28" t="s">
        <v>30</v>
      </c>
      <c r="B26" s="20">
        <f t="shared" ref="B26:R26" si="2">+B27+B38+B47+B58+B66+B77+B84+B93</f>
        <v>65</v>
      </c>
      <c r="C26" s="20">
        <f t="shared" si="2"/>
        <v>5412</v>
      </c>
      <c r="D26" s="20">
        <f t="shared" si="2"/>
        <v>1642188</v>
      </c>
      <c r="E26" s="20">
        <f t="shared" si="2"/>
        <v>225113</v>
      </c>
      <c r="F26" s="20">
        <f t="shared" si="2"/>
        <v>17</v>
      </c>
      <c r="G26" s="20">
        <f t="shared" si="2"/>
        <v>2810</v>
      </c>
      <c r="H26" s="20">
        <f t="shared" si="2"/>
        <v>151</v>
      </c>
      <c r="I26" s="20">
        <f t="shared" si="2"/>
        <v>334949</v>
      </c>
      <c r="J26" s="20">
        <f t="shared" si="2"/>
        <v>43881</v>
      </c>
      <c r="K26" s="20">
        <f t="shared" si="2"/>
        <v>1175</v>
      </c>
      <c r="L26" s="20">
        <f t="shared" si="2"/>
        <v>77</v>
      </c>
      <c r="M26" s="20">
        <f t="shared" si="2"/>
        <v>189858.381</v>
      </c>
      <c r="N26" s="20">
        <f t="shared" si="2"/>
        <v>65639.545</v>
      </c>
      <c r="O26" s="20">
        <f t="shared" si="2"/>
        <v>508</v>
      </c>
      <c r="P26" s="20">
        <f t="shared" si="2"/>
        <v>286</v>
      </c>
      <c r="Q26" s="20">
        <f t="shared" si="2"/>
        <v>6411.93748</v>
      </c>
      <c r="R26" s="20">
        <f t="shared" si="2"/>
        <v>2093.29498</v>
      </c>
    </row>
    <row r="27" ht="15.75" customHeight="1">
      <c r="A27" s="29" t="s">
        <v>31</v>
      </c>
      <c r="B27" s="30">
        <v>10.0</v>
      </c>
      <c r="C27" s="30">
        <v>765.0</v>
      </c>
      <c r="D27" s="30">
        <v>285790.0</v>
      </c>
      <c r="E27" s="30">
        <v>30083.0</v>
      </c>
      <c r="F27" s="30">
        <v>2.0</v>
      </c>
      <c r="G27" s="30">
        <v>6.0</v>
      </c>
      <c r="H27" s="30">
        <v>13.0</v>
      </c>
      <c r="I27" s="30">
        <v>50153.0</v>
      </c>
      <c r="J27" s="30">
        <v>4003.0</v>
      </c>
      <c r="K27" s="30">
        <v>147.0</v>
      </c>
      <c r="L27" s="30">
        <v>13.0</v>
      </c>
      <c r="M27" s="30">
        <v>62596.126000000026</v>
      </c>
      <c r="N27" s="30">
        <v>8865.041</v>
      </c>
      <c r="O27" s="30">
        <v>81.0</v>
      </c>
      <c r="P27" s="30">
        <v>44.0</v>
      </c>
      <c r="Q27" s="30">
        <v>1428.6988999999999</v>
      </c>
      <c r="R27" s="30">
        <v>461.6308999999999</v>
      </c>
    </row>
    <row r="28" ht="15.75" customHeight="1">
      <c r="A28" s="31" t="s">
        <v>32</v>
      </c>
      <c r="B28" s="32" t="s">
        <v>18</v>
      </c>
      <c r="C28" s="33">
        <v>220.0</v>
      </c>
      <c r="D28" s="33">
        <v>86245.0</v>
      </c>
      <c r="E28" s="33">
        <v>4467.0</v>
      </c>
      <c r="F28" s="33">
        <v>1.0</v>
      </c>
      <c r="G28" s="33">
        <v>0.0</v>
      </c>
      <c r="H28" s="33">
        <v>8.0</v>
      </c>
      <c r="I28" s="33">
        <v>4991.0</v>
      </c>
      <c r="J28" s="33">
        <v>954.0</v>
      </c>
      <c r="K28" s="33">
        <v>37.0</v>
      </c>
      <c r="L28" s="33">
        <v>1.0</v>
      </c>
      <c r="M28" s="33">
        <v>50617.23</v>
      </c>
      <c r="N28" s="33">
        <v>3545.7</v>
      </c>
      <c r="O28" s="33">
        <v>13.0</v>
      </c>
      <c r="P28" s="33">
        <v>10.0</v>
      </c>
      <c r="Q28" s="33">
        <v>253.09</v>
      </c>
      <c r="R28" s="33">
        <v>69.66000000000001</v>
      </c>
    </row>
    <row r="29" ht="15.75" customHeight="1">
      <c r="A29" s="11"/>
      <c r="B29" s="32" t="s">
        <v>33</v>
      </c>
      <c r="C29" s="33">
        <v>70.0</v>
      </c>
      <c r="D29" s="33">
        <v>41515.0</v>
      </c>
      <c r="E29" s="33">
        <v>3267.0</v>
      </c>
      <c r="F29" s="33">
        <v>1.0</v>
      </c>
      <c r="G29" s="33">
        <v>0.0</v>
      </c>
      <c r="H29" s="33">
        <v>2.0</v>
      </c>
      <c r="I29" s="33">
        <v>10008.0</v>
      </c>
      <c r="J29" s="33">
        <v>582.0</v>
      </c>
      <c r="K29" s="33">
        <v>22.0</v>
      </c>
      <c r="L29" s="33">
        <v>8.0</v>
      </c>
      <c r="M29" s="33">
        <v>274.2</v>
      </c>
      <c r="N29" s="33">
        <v>570.1</v>
      </c>
      <c r="O29" s="33">
        <v>18.0</v>
      </c>
      <c r="P29" s="33">
        <v>1.0</v>
      </c>
      <c r="Q29" s="33">
        <v>214.38699999999997</v>
      </c>
      <c r="R29" s="33">
        <v>54.64</v>
      </c>
    </row>
    <row r="30" ht="15.75" customHeight="1">
      <c r="A30" s="11"/>
      <c r="B30" s="32" t="s">
        <v>34</v>
      </c>
      <c r="C30" s="33">
        <v>40.0</v>
      </c>
      <c r="D30" s="33">
        <v>11576.0</v>
      </c>
      <c r="E30" s="33">
        <v>2212.0</v>
      </c>
      <c r="F30" s="33">
        <v>0.0</v>
      </c>
      <c r="G30" s="33">
        <v>1.0</v>
      </c>
      <c r="H30" s="33">
        <v>0.0</v>
      </c>
      <c r="I30" s="33">
        <v>2358.0</v>
      </c>
      <c r="J30" s="33">
        <v>446.0</v>
      </c>
      <c r="K30" s="33">
        <v>14.0</v>
      </c>
      <c r="L30" s="33">
        <v>0.0</v>
      </c>
      <c r="M30" s="33">
        <v>935.21</v>
      </c>
      <c r="N30" s="33">
        <v>340.59000000000003</v>
      </c>
      <c r="O30" s="33">
        <v>8.0</v>
      </c>
      <c r="P30" s="33">
        <v>3.0</v>
      </c>
      <c r="Q30" s="33">
        <v>64.77</v>
      </c>
      <c r="R30" s="33">
        <v>32.34</v>
      </c>
    </row>
    <row r="31" ht="15.75" customHeight="1">
      <c r="A31" s="11"/>
      <c r="B31" s="32" t="s">
        <v>35</v>
      </c>
      <c r="C31" s="33">
        <v>63.0</v>
      </c>
      <c r="D31" s="33">
        <v>17815.0</v>
      </c>
      <c r="E31" s="33">
        <v>4117.0</v>
      </c>
      <c r="F31" s="33">
        <v>0.0</v>
      </c>
      <c r="G31" s="33">
        <v>0.0</v>
      </c>
      <c r="H31" s="33">
        <v>1.0</v>
      </c>
      <c r="I31" s="33">
        <v>4386.0</v>
      </c>
      <c r="J31" s="33">
        <v>421.0</v>
      </c>
      <c r="K31" s="33">
        <v>12.0</v>
      </c>
      <c r="L31" s="33">
        <v>0.0</v>
      </c>
      <c r="M31" s="33">
        <v>2080.572</v>
      </c>
      <c r="N31" s="33">
        <v>864.35</v>
      </c>
      <c r="O31" s="33">
        <v>3.0</v>
      </c>
      <c r="P31" s="33">
        <v>3.0</v>
      </c>
      <c r="Q31" s="33">
        <v>365.58</v>
      </c>
      <c r="R31" s="33">
        <v>71.52199999999999</v>
      </c>
    </row>
    <row r="32" ht="15.75" customHeight="1">
      <c r="A32" s="11"/>
      <c r="B32" s="32" t="s">
        <v>36</v>
      </c>
      <c r="C32" s="33">
        <v>46.0</v>
      </c>
      <c r="D32" s="33">
        <v>20401.0</v>
      </c>
      <c r="E32" s="33">
        <v>5619.0</v>
      </c>
      <c r="F32" s="33">
        <v>0.0</v>
      </c>
      <c r="G32" s="33">
        <v>1.0</v>
      </c>
      <c r="H32" s="33">
        <v>0.0</v>
      </c>
      <c r="I32" s="33">
        <v>5914.0</v>
      </c>
      <c r="J32" s="33">
        <v>507.0</v>
      </c>
      <c r="K32" s="33">
        <v>10.0</v>
      </c>
      <c r="L32" s="33">
        <v>1.0</v>
      </c>
      <c r="M32" s="33">
        <v>1405.0</v>
      </c>
      <c r="N32" s="33">
        <v>879.0</v>
      </c>
      <c r="O32" s="33">
        <v>8.0</v>
      </c>
      <c r="P32" s="33">
        <v>3.0</v>
      </c>
      <c r="Q32" s="33">
        <v>32.857</v>
      </c>
      <c r="R32" s="33">
        <v>35.763999999999996</v>
      </c>
    </row>
    <row r="33" ht="15.75" customHeight="1">
      <c r="A33" s="11"/>
      <c r="B33" s="32" t="s">
        <v>37</v>
      </c>
      <c r="C33" s="33">
        <v>129.0</v>
      </c>
      <c r="D33" s="33">
        <v>43539.0</v>
      </c>
      <c r="E33" s="33">
        <v>2024.0</v>
      </c>
      <c r="F33" s="33">
        <v>0.0</v>
      </c>
      <c r="G33" s="33">
        <v>2.0</v>
      </c>
      <c r="H33" s="33">
        <v>0.0</v>
      </c>
      <c r="I33" s="33">
        <v>9169.0</v>
      </c>
      <c r="J33" s="33">
        <v>180.0</v>
      </c>
      <c r="K33" s="33">
        <v>15.0</v>
      </c>
      <c r="L33" s="33">
        <v>2.0</v>
      </c>
      <c r="M33" s="33">
        <v>5276.654</v>
      </c>
      <c r="N33" s="33">
        <v>1042.906</v>
      </c>
      <c r="O33" s="33">
        <v>5.0</v>
      </c>
      <c r="P33" s="33">
        <v>10.0</v>
      </c>
      <c r="Q33" s="33">
        <v>99.695</v>
      </c>
      <c r="R33" s="33">
        <v>5.45</v>
      </c>
    </row>
    <row r="34" ht="15.75" customHeight="1">
      <c r="A34" s="11"/>
      <c r="B34" s="32" t="s">
        <v>38</v>
      </c>
      <c r="C34" s="33">
        <v>46.0</v>
      </c>
      <c r="D34" s="33">
        <v>15679.0</v>
      </c>
      <c r="E34" s="33">
        <v>2427.0</v>
      </c>
      <c r="F34" s="33">
        <v>0.0</v>
      </c>
      <c r="G34" s="33">
        <v>0.0</v>
      </c>
      <c r="H34" s="33">
        <v>0.0</v>
      </c>
      <c r="I34" s="33">
        <v>4558.0</v>
      </c>
      <c r="J34" s="33">
        <v>283.0</v>
      </c>
      <c r="K34" s="33">
        <v>12.0</v>
      </c>
      <c r="L34" s="33">
        <v>0.0</v>
      </c>
      <c r="M34" s="33">
        <v>196.6</v>
      </c>
      <c r="N34" s="33">
        <v>1129.745</v>
      </c>
      <c r="O34" s="33">
        <v>14.0</v>
      </c>
      <c r="P34" s="33">
        <v>0.0</v>
      </c>
      <c r="Q34" s="33">
        <v>160.44889999999998</v>
      </c>
      <c r="R34" s="33">
        <v>48.23089999999999</v>
      </c>
    </row>
    <row r="35" ht="15.75" customHeight="1">
      <c r="A35" s="11"/>
      <c r="B35" s="32" t="s">
        <v>39</v>
      </c>
      <c r="C35" s="33">
        <v>47.0</v>
      </c>
      <c r="D35" s="33">
        <v>27762.0</v>
      </c>
      <c r="E35" s="33">
        <v>2173.0</v>
      </c>
      <c r="F35" s="33">
        <v>0.0</v>
      </c>
      <c r="G35" s="33">
        <v>0.0</v>
      </c>
      <c r="H35" s="33">
        <v>0.0</v>
      </c>
      <c r="I35" s="33">
        <v>4457.0</v>
      </c>
      <c r="J35" s="33">
        <v>238.0</v>
      </c>
      <c r="K35" s="33">
        <v>11.0</v>
      </c>
      <c r="L35" s="33">
        <v>1.0</v>
      </c>
      <c r="M35" s="33">
        <v>900.8</v>
      </c>
      <c r="N35" s="33">
        <v>166.4</v>
      </c>
      <c r="O35" s="33">
        <v>4.0</v>
      </c>
      <c r="P35" s="33">
        <v>0.0</v>
      </c>
      <c r="Q35" s="33">
        <v>120.311</v>
      </c>
      <c r="R35" s="33">
        <v>76.644</v>
      </c>
    </row>
    <row r="36" ht="15.75" customHeight="1">
      <c r="A36" s="11"/>
      <c r="B36" s="32" t="s">
        <v>40</v>
      </c>
      <c r="C36" s="33">
        <v>57.0</v>
      </c>
      <c r="D36" s="33">
        <v>13666.0</v>
      </c>
      <c r="E36" s="33">
        <v>2266.0</v>
      </c>
      <c r="F36" s="33">
        <v>0.0</v>
      </c>
      <c r="G36" s="33">
        <v>0.0</v>
      </c>
      <c r="H36" s="33">
        <v>0.0</v>
      </c>
      <c r="I36" s="33">
        <v>2425.0</v>
      </c>
      <c r="J36" s="33">
        <v>292.0</v>
      </c>
      <c r="K36" s="33">
        <v>2.0</v>
      </c>
      <c r="L36" s="33">
        <v>0.0</v>
      </c>
      <c r="M36" s="33">
        <v>741.36</v>
      </c>
      <c r="N36" s="33">
        <v>240.55000000000004</v>
      </c>
      <c r="O36" s="33">
        <v>7.0</v>
      </c>
      <c r="P36" s="33">
        <v>11.0</v>
      </c>
      <c r="Q36" s="33">
        <v>80.97</v>
      </c>
      <c r="R36" s="33">
        <v>21.01</v>
      </c>
    </row>
    <row r="37" ht="15.75" customHeight="1">
      <c r="A37" s="16"/>
      <c r="B37" s="32" t="s">
        <v>41</v>
      </c>
      <c r="C37" s="33">
        <v>47.0</v>
      </c>
      <c r="D37" s="33">
        <v>7592.0</v>
      </c>
      <c r="E37" s="33">
        <v>1511.0</v>
      </c>
      <c r="F37" s="33">
        <v>0.0</v>
      </c>
      <c r="G37" s="33">
        <v>2.0</v>
      </c>
      <c r="H37" s="33">
        <v>2.0</v>
      </c>
      <c r="I37" s="33">
        <v>1887.0</v>
      </c>
      <c r="J37" s="33">
        <v>100.0</v>
      </c>
      <c r="K37" s="33">
        <v>12.0</v>
      </c>
      <c r="L37" s="33">
        <v>0.0</v>
      </c>
      <c r="M37" s="33">
        <v>168.5</v>
      </c>
      <c r="N37" s="33">
        <v>85.7</v>
      </c>
      <c r="O37" s="33">
        <v>1.0</v>
      </c>
      <c r="P37" s="33">
        <v>3.0</v>
      </c>
      <c r="Q37" s="33">
        <v>36.59</v>
      </c>
      <c r="R37" s="33">
        <v>46.370000000000005</v>
      </c>
    </row>
    <row r="38" ht="15.75" customHeight="1">
      <c r="A38" s="34" t="s">
        <v>42</v>
      </c>
      <c r="B38" s="30">
        <v>8.0</v>
      </c>
      <c r="C38" s="30">
        <v>727.0</v>
      </c>
      <c r="D38" s="30">
        <v>206197.0</v>
      </c>
      <c r="E38" s="30">
        <v>28188.0</v>
      </c>
      <c r="F38" s="30">
        <v>1.0</v>
      </c>
      <c r="G38" s="30">
        <v>297.0</v>
      </c>
      <c r="H38" s="30">
        <v>26.0</v>
      </c>
      <c r="I38" s="30">
        <v>37297.0</v>
      </c>
      <c r="J38" s="30">
        <v>5376.0</v>
      </c>
      <c r="K38" s="30">
        <v>185.0</v>
      </c>
      <c r="L38" s="30">
        <v>24.0</v>
      </c>
      <c r="M38" s="30">
        <v>40851.395000000004</v>
      </c>
      <c r="N38" s="30">
        <v>10848.725000000004</v>
      </c>
      <c r="O38" s="30">
        <v>147.0</v>
      </c>
      <c r="P38" s="30">
        <v>141.0</v>
      </c>
      <c r="Q38" s="30">
        <v>1557.21188</v>
      </c>
      <c r="R38" s="30">
        <v>511.84635999999995</v>
      </c>
    </row>
    <row r="39" ht="15.75" customHeight="1">
      <c r="A39" s="31" t="s">
        <v>43</v>
      </c>
      <c r="B39" s="32" t="s">
        <v>44</v>
      </c>
      <c r="C39" s="33">
        <v>86.0</v>
      </c>
      <c r="D39" s="33">
        <v>46110.0</v>
      </c>
      <c r="E39" s="33">
        <v>2596.0</v>
      </c>
      <c r="F39" s="33">
        <v>0.0</v>
      </c>
      <c r="G39" s="33">
        <v>9.0</v>
      </c>
      <c r="H39" s="33">
        <v>2.0</v>
      </c>
      <c r="I39" s="33">
        <v>8083.0</v>
      </c>
      <c r="J39" s="33">
        <v>360.0</v>
      </c>
      <c r="K39" s="33">
        <v>25.0</v>
      </c>
      <c r="L39" s="33">
        <v>0.0</v>
      </c>
      <c r="M39" s="33">
        <v>3775.75</v>
      </c>
      <c r="N39" s="33">
        <v>339.33</v>
      </c>
      <c r="O39" s="33">
        <v>39.0</v>
      </c>
      <c r="P39" s="33">
        <v>32.0</v>
      </c>
      <c r="Q39" s="33">
        <v>190.782</v>
      </c>
      <c r="R39" s="33">
        <v>145.305</v>
      </c>
    </row>
    <row r="40" ht="15.75" customHeight="1">
      <c r="A40" s="11"/>
      <c r="B40" s="32" t="s">
        <v>45</v>
      </c>
      <c r="C40" s="33">
        <v>101.0</v>
      </c>
      <c r="D40" s="33">
        <v>24554.0</v>
      </c>
      <c r="E40" s="33">
        <v>4496.0</v>
      </c>
      <c r="F40" s="33">
        <v>0.0</v>
      </c>
      <c r="G40" s="33">
        <v>249.0</v>
      </c>
      <c r="H40" s="33">
        <v>5.0</v>
      </c>
      <c r="I40" s="33">
        <v>3994.0</v>
      </c>
      <c r="J40" s="33">
        <v>496.0</v>
      </c>
      <c r="K40" s="33">
        <v>32.0</v>
      </c>
      <c r="L40" s="33">
        <v>3.0</v>
      </c>
      <c r="M40" s="33">
        <v>7337.2</v>
      </c>
      <c r="N40" s="33">
        <v>3927.2</v>
      </c>
      <c r="O40" s="33">
        <v>38.0</v>
      </c>
      <c r="P40" s="33">
        <v>37.0</v>
      </c>
      <c r="Q40" s="33">
        <v>266.51000000000005</v>
      </c>
      <c r="R40" s="33">
        <v>94.895</v>
      </c>
    </row>
    <row r="41" ht="15.75" customHeight="1">
      <c r="A41" s="11"/>
      <c r="B41" s="32" t="s">
        <v>19</v>
      </c>
      <c r="C41" s="33">
        <v>140.0</v>
      </c>
      <c r="D41" s="33">
        <v>23305.0</v>
      </c>
      <c r="E41" s="33">
        <v>4317.0</v>
      </c>
      <c r="F41" s="33">
        <v>0.0</v>
      </c>
      <c r="G41" s="33">
        <v>1.0</v>
      </c>
      <c r="H41" s="33">
        <v>0.0</v>
      </c>
      <c r="I41" s="33">
        <v>4226.0</v>
      </c>
      <c r="J41" s="33">
        <v>981.0</v>
      </c>
      <c r="K41" s="33">
        <v>35.0</v>
      </c>
      <c r="L41" s="33">
        <v>8.0</v>
      </c>
      <c r="M41" s="33">
        <v>16363.79</v>
      </c>
      <c r="N41" s="33">
        <v>1125.62</v>
      </c>
      <c r="O41" s="33">
        <v>25.0</v>
      </c>
      <c r="P41" s="33">
        <v>26.0</v>
      </c>
      <c r="Q41" s="33">
        <v>212.78855000000004</v>
      </c>
      <c r="R41" s="33">
        <v>49.42495999999999</v>
      </c>
    </row>
    <row r="42" ht="15.75" customHeight="1">
      <c r="A42" s="11"/>
      <c r="B42" s="32" t="s">
        <v>46</v>
      </c>
      <c r="C42" s="33">
        <v>128.0</v>
      </c>
      <c r="D42" s="33">
        <v>29765.0</v>
      </c>
      <c r="E42" s="33">
        <v>5841.0</v>
      </c>
      <c r="F42" s="33">
        <v>1.0</v>
      </c>
      <c r="G42" s="33">
        <v>6.0</v>
      </c>
      <c r="H42" s="33">
        <v>10.0</v>
      </c>
      <c r="I42" s="33">
        <v>4624.0</v>
      </c>
      <c r="J42" s="33">
        <v>1570.0</v>
      </c>
      <c r="K42" s="33">
        <v>31.0</v>
      </c>
      <c r="L42" s="33">
        <v>8.0</v>
      </c>
      <c r="M42" s="33">
        <v>4627.259999999999</v>
      </c>
      <c r="N42" s="33">
        <v>2248.32</v>
      </c>
      <c r="O42" s="33">
        <v>15.0</v>
      </c>
      <c r="P42" s="33">
        <v>29.0</v>
      </c>
      <c r="Q42" s="33">
        <v>297.73552</v>
      </c>
      <c r="R42" s="33">
        <v>26.9144</v>
      </c>
    </row>
    <row r="43" ht="15.75" customHeight="1">
      <c r="A43" s="11"/>
      <c r="B43" s="32" t="s">
        <v>47</v>
      </c>
      <c r="C43" s="33">
        <v>29.0</v>
      </c>
      <c r="D43" s="33">
        <v>14388.0</v>
      </c>
      <c r="E43" s="33">
        <v>1076.0</v>
      </c>
      <c r="F43" s="33">
        <v>0.0</v>
      </c>
      <c r="G43" s="33">
        <v>0.0</v>
      </c>
      <c r="H43" s="33">
        <v>0.0</v>
      </c>
      <c r="I43" s="33">
        <v>1904.0</v>
      </c>
      <c r="J43" s="33">
        <v>129.0</v>
      </c>
      <c r="K43" s="33">
        <v>21.0</v>
      </c>
      <c r="L43" s="33">
        <v>0.0</v>
      </c>
      <c r="M43" s="33">
        <v>447.885</v>
      </c>
      <c r="N43" s="33">
        <v>358.995</v>
      </c>
      <c r="O43" s="33">
        <v>3.0</v>
      </c>
      <c r="P43" s="33">
        <v>1.0</v>
      </c>
      <c r="Q43" s="33">
        <v>143.975</v>
      </c>
      <c r="R43" s="33">
        <v>24.912</v>
      </c>
    </row>
    <row r="44" ht="15.75" customHeight="1">
      <c r="A44" s="11"/>
      <c r="B44" s="32" t="s">
        <v>48</v>
      </c>
      <c r="C44" s="33">
        <v>97.0</v>
      </c>
      <c r="D44" s="33">
        <v>31427.0</v>
      </c>
      <c r="E44" s="33">
        <v>2440.0</v>
      </c>
      <c r="F44" s="33">
        <v>0.0</v>
      </c>
      <c r="G44" s="33">
        <v>32.0</v>
      </c>
      <c r="H44" s="33">
        <v>4.0</v>
      </c>
      <c r="I44" s="33">
        <v>8559.0</v>
      </c>
      <c r="J44" s="33">
        <v>535.0</v>
      </c>
      <c r="K44" s="33">
        <v>18.0</v>
      </c>
      <c r="L44" s="33">
        <v>4.0</v>
      </c>
      <c r="M44" s="33">
        <v>4442.860000000001</v>
      </c>
      <c r="N44" s="33">
        <v>886.37</v>
      </c>
      <c r="O44" s="33">
        <v>6.0</v>
      </c>
      <c r="P44" s="33">
        <v>5.0</v>
      </c>
      <c r="Q44" s="33">
        <v>268.37791</v>
      </c>
      <c r="R44" s="33">
        <v>99.64500000000001</v>
      </c>
    </row>
    <row r="45" ht="15.75" customHeight="1">
      <c r="A45" s="11"/>
      <c r="B45" s="32" t="s">
        <v>49</v>
      </c>
      <c r="C45" s="33">
        <v>46.0</v>
      </c>
      <c r="D45" s="33">
        <v>11467.0</v>
      </c>
      <c r="E45" s="33">
        <v>3108.0</v>
      </c>
      <c r="F45" s="33">
        <v>0.0</v>
      </c>
      <c r="G45" s="33">
        <v>0.0</v>
      </c>
      <c r="H45" s="33">
        <v>2.0</v>
      </c>
      <c r="I45" s="33">
        <v>2259.0</v>
      </c>
      <c r="J45" s="33">
        <v>677.0</v>
      </c>
      <c r="K45" s="33">
        <v>10.0</v>
      </c>
      <c r="L45" s="33">
        <v>1.0</v>
      </c>
      <c r="M45" s="33">
        <v>3208.4</v>
      </c>
      <c r="N45" s="33">
        <v>785.4</v>
      </c>
      <c r="O45" s="33">
        <v>21.0</v>
      </c>
      <c r="P45" s="33">
        <v>11.0</v>
      </c>
      <c r="Q45" s="33">
        <v>39.8</v>
      </c>
      <c r="R45" s="33">
        <v>51.24</v>
      </c>
    </row>
    <row r="46" ht="15.75" customHeight="1">
      <c r="A46" s="16"/>
      <c r="B46" s="32" t="s">
        <v>50</v>
      </c>
      <c r="C46" s="33">
        <v>100.0</v>
      </c>
      <c r="D46" s="33">
        <v>25181.0</v>
      </c>
      <c r="E46" s="33">
        <v>4314.0</v>
      </c>
      <c r="F46" s="33">
        <v>0.0</v>
      </c>
      <c r="G46" s="33">
        <v>0.0</v>
      </c>
      <c r="H46" s="33">
        <v>3.0</v>
      </c>
      <c r="I46" s="33">
        <v>3648.0</v>
      </c>
      <c r="J46" s="33">
        <v>628.0</v>
      </c>
      <c r="K46" s="33">
        <v>13.0</v>
      </c>
      <c r="L46" s="33">
        <v>0.0</v>
      </c>
      <c r="M46" s="33">
        <v>648.25</v>
      </c>
      <c r="N46" s="33">
        <v>1177.4900000000002</v>
      </c>
      <c r="O46" s="33">
        <v>0.0</v>
      </c>
      <c r="P46" s="33">
        <v>0.0</v>
      </c>
      <c r="Q46" s="33">
        <v>137.24290000000002</v>
      </c>
      <c r="R46" s="33">
        <v>19.51</v>
      </c>
    </row>
    <row r="47" ht="15.75" customHeight="1">
      <c r="A47" s="34" t="s">
        <v>51</v>
      </c>
      <c r="B47" s="30">
        <v>10.0</v>
      </c>
      <c r="C47" s="30">
        <v>623.0</v>
      </c>
      <c r="D47" s="30">
        <v>229963.0</v>
      </c>
      <c r="E47" s="30">
        <v>21160.0</v>
      </c>
      <c r="F47" s="30">
        <v>4.0</v>
      </c>
      <c r="G47" s="30">
        <v>45.0</v>
      </c>
      <c r="H47" s="30">
        <v>20.0</v>
      </c>
      <c r="I47" s="30">
        <v>50746.0</v>
      </c>
      <c r="J47" s="30">
        <v>4187.0</v>
      </c>
      <c r="K47" s="30">
        <v>204.0</v>
      </c>
      <c r="L47" s="30">
        <v>18.0</v>
      </c>
      <c r="M47" s="30">
        <v>27156.638000000003</v>
      </c>
      <c r="N47" s="30">
        <v>5581.135000000001</v>
      </c>
      <c r="O47" s="30">
        <v>113.0</v>
      </c>
      <c r="P47" s="30">
        <v>35.0</v>
      </c>
      <c r="Q47" s="30">
        <v>1247.2206599999997</v>
      </c>
      <c r="R47" s="30">
        <v>326.9548700000001</v>
      </c>
    </row>
    <row r="48" ht="15.75" customHeight="1">
      <c r="A48" s="31" t="s">
        <v>52</v>
      </c>
      <c r="B48" s="32" t="s">
        <v>53</v>
      </c>
      <c r="C48" s="33">
        <v>38.0</v>
      </c>
      <c r="D48" s="33">
        <v>21189.0</v>
      </c>
      <c r="E48" s="33">
        <v>2272.0</v>
      </c>
      <c r="F48" s="33">
        <v>0.0</v>
      </c>
      <c r="G48" s="33">
        <v>0.0</v>
      </c>
      <c r="H48" s="33">
        <v>0.0</v>
      </c>
      <c r="I48" s="33">
        <v>4993.0</v>
      </c>
      <c r="J48" s="33">
        <v>506.0</v>
      </c>
      <c r="K48" s="33">
        <v>20.0</v>
      </c>
      <c r="L48" s="33">
        <v>0.0</v>
      </c>
      <c r="M48" s="33">
        <v>1589.425</v>
      </c>
      <c r="N48" s="33">
        <v>392.68</v>
      </c>
      <c r="O48" s="33">
        <v>21.0</v>
      </c>
      <c r="P48" s="33">
        <v>4.0</v>
      </c>
      <c r="Q48" s="33">
        <v>67.69400000000002</v>
      </c>
      <c r="R48" s="33">
        <v>0.53</v>
      </c>
    </row>
    <row r="49" ht="15.75" customHeight="1">
      <c r="A49" s="11"/>
      <c r="B49" s="32" t="s">
        <v>54</v>
      </c>
      <c r="C49" s="33">
        <v>45.0</v>
      </c>
      <c r="D49" s="33">
        <v>25387.0</v>
      </c>
      <c r="E49" s="33">
        <v>2333.0</v>
      </c>
      <c r="F49" s="33">
        <v>0.0</v>
      </c>
      <c r="G49" s="33">
        <v>0.0</v>
      </c>
      <c r="H49" s="33">
        <v>1.0</v>
      </c>
      <c r="I49" s="33">
        <v>1736.0</v>
      </c>
      <c r="J49" s="33">
        <v>274.0</v>
      </c>
      <c r="K49" s="33">
        <v>21.0</v>
      </c>
      <c r="L49" s="33">
        <v>0.0</v>
      </c>
      <c r="M49" s="33">
        <v>8664.0</v>
      </c>
      <c r="N49" s="33">
        <v>420.0</v>
      </c>
      <c r="O49" s="33">
        <v>18.0</v>
      </c>
      <c r="P49" s="33">
        <v>7.0</v>
      </c>
      <c r="Q49" s="33">
        <v>102.52999999999999</v>
      </c>
      <c r="R49" s="33">
        <v>83.26</v>
      </c>
    </row>
    <row r="50" ht="15.75" customHeight="1">
      <c r="A50" s="11"/>
      <c r="B50" s="32" t="s">
        <v>55</v>
      </c>
      <c r="C50" s="33">
        <v>202.0</v>
      </c>
      <c r="D50" s="33">
        <v>43674.0</v>
      </c>
      <c r="E50" s="33">
        <v>5249.0</v>
      </c>
      <c r="F50" s="33">
        <v>2.0</v>
      </c>
      <c r="G50" s="33">
        <v>37.0</v>
      </c>
      <c r="H50" s="33">
        <v>15.0</v>
      </c>
      <c r="I50" s="33">
        <v>15346.0</v>
      </c>
      <c r="J50" s="33">
        <v>1094.0</v>
      </c>
      <c r="K50" s="33">
        <v>59.0</v>
      </c>
      <c r="L50" s="33">
        <v>1.0</v>
      </c>
      <c r="M50" s="33">
        <v>4275.493</v>
      </c>
      <c r="N50" s="33">
        <v>398.65</v>
      </c>
      <c r="O50" s="33">
        <v>4.0</v>
      </c>
      <c r="P50" s="33">
        <v>2.0</v>
      </c>
      <c r="Q50" s="33">
        <v>176.05400000000003</v>
      </c>
      <c r="R50" s="33">
        <v>21.33</v>
      </c>
    </row>
    <row r="51" ht="15.75" customHeight="1">
      <c r="A51" s="11"/>
      <c r="B51" s="32" t="s">
        <v>56</v>
      </c>
      <c r="C51" s="33">
        <v>65.0</v>
      </c>
      <c r="D51" s="33">
        <v>22558.0</v>
      </c>
      <c r="E51" s="33">
        <v>1279.0</v>
      </c>
      <c r="F51" s="33">
        <v>0.0</v>
      </c>
      <c r="G51" s="33">
        <v>2.0</v>
      </c>
      <c r="H51" s="33">
        <v>0.0</v>
      </c>
      <c r="I51" s="33">
        <v>3407.0</v>
      </c>
      <c r="J51" s="33">
        <v>206.0</v>
      </c>
      <c r="K51" s="33">
        <v>10.0</v>
      </c>
      <c r="L51" s="33">
        <v>0.0</v>
      </c>
      <c r="M51" s="33">
        <v>3075.57</v>
      </c>
      <c r="N51" s="33">
        <v>2346.02</v>
      </c>
      <c r="O51" s="33">
        <v>20.0</v>
      </c>
      <c r="P51" s="33">
        <v>3.0</v>
      </c>
      <c r="Q51" s="33">
        <v>35.3</v>
      </c>
      <c r="R51" s="33">
        <v>9.4</v>
      </c>
    </row>
    <row r="52" ht="15.75" customHeight="1">
      <c r="A52" s="11"/>
      <c r="B52" s="32" t="s">
        <v>57</v>
      </c>
      <c r="C52" s="33">
        <v>64.0</v>
      </c>
      <c r="D52" s="33">
        <v>17273.0</v>
      </c>
      <c r="E52" s="33">
        <v>2388.0</v>
      </c>
      <c r="F52" s="33">
        <v>1.0</v>
      </c>
      <c r="G52" s="33">
        <v>4.0</v>
      </c>
      <c r="H52" s="33">
        <v>2.0</v>
      </c>
      <c r="I52" s="33">
        <v>5136.0</v>
      </c>
      <c r="J52" s="33">
        <v>514.0</v>
      </c>
      <c r="K52" s="33">
        <v>16.0</v>
      </c>
      <c r="L52" s="33">
        <v>1.0</v>
      </c>
      <c r="M52" s="33">
        <v>3351.62</v>
      </c>
      <c r="N52" s="33">
        <v>13.25</v>
      </c>
      <c r="O52" s="33">
        <v>1.0</v>
      </c>
      <c r="P52" s="33">
        <v>4.0</v>
      </c>
      <c r="Q52" s="33">
        <v>17.31166</v>
      </c>
      <c r="R52" s="33">
        <v>28.19487</v>
      </c>
    </row>
    <row r="53" ht="15.75" customHeight="1">
      <c r="A53" s="11"/>
      <c r="B53" s="32" t="s">
        <v>58</v>
      </c>
      <c r="C53" s="33">
        <v>38.0</v>
      </c>
      <c r="D53" s="33">
        <v>24016.0</v>
      </c>
      <c r="E53" s="33">
        <v>770.0</v>
      </c>
      <c r="F53" s="33">
        <v>0.0</v>
      </c>
      <c r="G53" s="33">
        <v>0.0</v>
      </c>
      <c r="H53" s="33">
        <v>0.0</v>
      </c>
      <c r="I53" s="33">
        <v>3472.0</v>
      </c>
      <c r="J53" s="33">
        <v>197.0</v>
      </c>
      <c r="K53" s="33">
        <v>13.0</v>
      </c>
      <c r="L53" s="33">
        <v>0.0</v>
      </c>
      <c r="M53" s="33">
        <v>832.88</v>
      </c>
      <c r="N53" s="33">
        <v>85.0</v>
      </c>
      <c r="O53" s="33">
        <v>2.0</v>
      </c>
      <c r="P53" s="33">
        <v>1.0</v>
      </c>
      <c r="Q53" s="33">
        <v>67.64699999999999</v>
      </c>
      <c r="R53" s="33">
        <v>0.497</v>
      </c>
    </row>
    <row r="54" ht="15.75" customHeight="1">
      <c r="A54" s="11"/>
      <c r="B54" s="32" t="s">
        <v>59</v>
      </c>
      <c r="C54" s="33">
        <v>40.0</v>
      </c>
      <c r="D54" s="33">
        <v>20516.0</v>
      </c>
      <c r="E54" s="33">
        <v>1935.0</v>
      </c>
      <c r="F54" s="33">
        <v>1.0</v>
      </c>
      <c r="G54" s="33">
        <v>0.0</v>
      </c>
      <c r="H54" s="33">
        <v>0.0</v>
      </c>
      <c r="I54" s="33">
        <v>5197.0</v>
      </c>
      <c r="J54" s="33">
        <v>591.0</v>
      </c>
      <c r="K54" s="33">
        <v>18.0</v>
      </c>
      <c r="L54" s="33">
        <v>0.0</v>
      </c>
      <c r="M54" s="33">
        <v>516.05</v>
      </c>
      <c r="N54" s="33">
        <v>208.0</v>
      </c>
      <c r="O54" s="33">
        <v>3.0</v>
      </c>
      <c r="P54" s="33">
        <v>0.0</v>
      </c>
      <c r="Q54" s="33">
        <v>83.11500000000001</v>
      </c>
      <c r="R54" s="33">
        <v>46.265</v>
      </c>
    </row>
    <row r="55" ht="15.75" customHeight="1">
      <c r="A55" s="11"/>
      <c r="B55" s="32" t="s">
        <v>60</v>
      </c>
      <c r="C55" s="33">
        <v>35.0</v>
      </c>
      <c r="D55" s="33">
        <v>11682.0</v>
      </c>
      <c r="E55" s="33">
        <v>790.0</v>
      </c>
      <c r="F55" s="33">
        <v>0.0</v>
      </c>
      <c r="G55" s="33">
        <v>2.0</v>
      </c>
      <c r="H55" s="33">
        <v>0.0</v>
      </c>
      <c r="I55" s="33">
        <v>2807.0</v>
      </c>
      <c r="J55" s="33">
        <v>158.0</v>
      </c>
      <c r="K55" s="33">
        <v>14.0</v>
      </c>
      <c r="L55" s="33">
        <v>1.0</v>
      </c>
      <c r="M55" s="33">
        <v>142.53</v>
      </c>
      <c r="N55" s="33">
        <v>39.425</v>
      </c>
      <c r="O55" s="33">
        <v>4.0</v>
      </c>
      <c r="P55" s="33">
        <v>1.0</v>
      </c>
      <c r="Q55" s="33">
        <v>109.142</v>
      </c>
      <c r="R55" s="33">
        <v>26.372999999999998</v>
      </c>
    </row>
    <row r="56" ht="15.75" customHeight="1">
      <c r="A56" s="11"/>
      <c r="B56" s="32" t="s">
        <v>61</v>
      </c>
      <c r="C56" s="33">
        <v>47.0</v>
      </c>
      <c r="D56" s="33">
        <v>15902.0</v>
      </c>
      <c r="E56" s="33">
        <v>1532.0</v>
      </c>
      <c r="F56" s="33">
        <v>0.0</v>
      </c>
      <c r="G56" s="33">
        <v>0.0</v>
      </c>
      <c r="H56" s="33">
        <v>0.0</v>
      </c>
      <c r="I56" s="33">
        <v>3404.0</v>
      </c>
      <c r="J56" s="33">
        <v>88.0</v>
      </c>
      <c r="K56" s="33">
        <v>17.0</v>
      </c>
      <c r="L56" s="33">
        <v>0.0</v>
      </c>
      <c r="M56" s="33">
        <v>268.4</v>
      </c>
      <c r="N56" s="33">
        <v>88.6</v>
      </c>
      <c r="O56" s="33">
        <v>36.0</v>
      </c>
      <c r="P56" s="33">
        <v>11.0</v>
      </c>
      <c r="Q56" s="33">
        <v>367.037</v>
      </c>
      <c r="R56" s="33">
        <v>52.035</v>
      </c>
    </row>
    <row r="57" ht="15.75" customHeight="1">
      <c r="A57" s="16"/>
      <c r="B57" s="32" t="s">
        <v>62</v>
      </c>
      <c r="C57" s="33">
        <v>49.0</v>
      </c>
      <c r="D57" s="33">
        <v>27766.0</v>
      </c>
      <c r="E57" s="33">
        <v>2612.0</v>
      </c>
      <c r="F57" s="33">
        <v>0.0</v>
      </c>
      <c r="G57" s="33">
        <v>0.0</v>
      </c>
      <c r="H57" s="33">
        <v>2.0</v>
      </c>
      <c r="I57" s="33">
        <v>5248.0</v>
      </c>
      <c r="J57" s="33">
        <v>559.0</v>
      </c>
      <c r="K57" s="33">
        <v>16.0</v>
      </c>
      <c r="L57" s="33">
        <v>15.0</v>
      </c>
      <c r="M57" s="33">
        <v>4440.67</v>
      </c>
      <c r="N57" s="33">
        <v>1589.51</v>
      </c>
      <c r="O57" s="33">
        <v>4.0</v>
      </c>
      <c r="P57" s="33">
        <v>2.0</v>
      </c>
      <c r="Q57" s="33">
        <v>221.39</v>
      </c>
      <c r="R57" s="33">
        <v>59.07</v>
      </c>
    </row>
    <row r="58" ht="15.75" customHeight="1">
      <c r="A58" s="34" t="s">
        <v>63</v>
      </c>
      <c r="B58" s="30">
        <v>7.0</v>
      </c>
      <c r="C58" s="30">
        <v>377.0</v>
      </c>
      <c r="D58" s="30">
        <v>106764.0</v>
      </c>
      <c r="E58" s="30">
        <v>19291.0</v>
      </c>
      <c r="F58" s="30">
        <v>0.0</v>
      </c>
      <c r="G58" s="30">
        <v>46.0</v>
      </c>
      <c r="H58" s="30">
        <v>11.0</v>
      </c>
      <c r="I58" s="30">
        <v>24906.0</v>
      </c>
      <c r="J58" s="30">
        <v>2822.0</v>
      </c>
      <c r="K58" s="30">
        <v>141.0</v>
      </c>
      <c r="L58" s="30">
        <v>2.0</v>
      </c>
      <c r="M58" s="30">
        <v>5268.547</v>
      </c>
      <c r="N58" s="30">
        <v>3534.4700000000003</v>
      </c>
      <c r="O58" s="30">
        <v>31.0</v>
      </c>
      <c r="P58" s="30">
        <v>3.0</v>
      </c>
      <c r="Q58" s="30">
        <v>420.8038599999999</v>
      </c>
      <c r="R58" s="30">
        <v>167.08299999999997</v>
      </c>
    </row>
    <row r="59" ht="15.75" customHeight="1">
      <c r="A59" s="31" t="s">
        <v>64</v>
      </c>
      <c r="B59" s="32" t="s">
        <v>65</v>
      </c>
      <c r="C59" s="33">
        <v>14.0</v>
      </c>
      <c r="D59" s="33">
        <v>6069.0</v>
      </c>
      <c r="E59" s="33">
        <v>1408.0</v>
      </c>
      <c r="F59" s="33">
        <v>0.0</v>
      </c>
      <c r="G59" s="33">
        <v>0.0</v>
      </c>
      <c r="H59" s="33">
        <v>0.0</v>
      </c>
      <c r="I59" s="33">
        <v>1020.0</v>
      </c>
      <c r="J59" s="33">
        <v>76.0</v>
      </c>
      <c r="K59" s="33">
        <v>8.0</v>
      </c>
      <c r="L59" s="33">
        <v>0.0</v>
      </c>
      <c r="M59" s="33">
        <v>80.0</v>
      </c>
      <c r="N59" s="33">
        <v>25.0</v>
      </c>
      <c r="O59" s="33">
        <v>3.0</v>
      </c>
      <c r="P59" s="33">
        <v>0.0</v>
      </c>
      <c r="Q59" s="33">
        <v>36.2</v>
      </c>
      <c r="R59" s="33">
        <v>5.19</v>
      </c>
    </row>
    <row r="60" ht="15.75" customHeight="1">
      <c r="A60" s="11"/>
      <c r="B60" s="32" t="s">
        <v>66</v>
      </c>
      <c r="C60" s="33">
        <v>27.0</v>
      </c>
      <c r="D60" s="33">
        <v>1480.0</v>
      </c>
      <c r="E60" s="33">
        <v>623.0</v>
      </c>
      <c r="F60" s="33">
        <v>0.0</v>
      </c>
      <c r="G60" s="33">
        <v>0.0</v>
      </c>
      <c r="H60" s="33">
        <v>0.0</v>
      </c>
      <c r="I60" s="33">
        <v>531.0</v>
      </c>
      <c r="J60" s="33">
        <v>2.0</v>
      </c>
      <c r="K60" s="33">
        <v>4.0</v>
      </c>
      <c r="L60" s="33">
        <v>0.0</v>
      </c>
      <c r="M60" s="33">
        <v>0.0</v>
      </c>
      <c r="N60" s="33">
        <v>0.0</v>
      </c>
      <c r="O60" s="33">
        <v>1.0</v>
      </c>
      <c r="P60" s="33">
        <v>0.0</v>
      </c>
      <c r="Q60" s="33">
        <v>5.609999999999999</v>
      </c>
      <c r="R60" s="33">
        <v>5.2</v>
      </c>
    </row>
    <row r="61" ht="15.75" customHeight="1">
      <c r="A61" s="11"/>
      <c r="B61" s="32" t="s">
        <v>67</v>
      </c>
      <c r="C61" s="33">
        <v>44.0</v>
      </c>
      <c r="D61" s="33">
        <v>42235.0</v>
      </c>
      <c r="E61" s="33">
        <v>5430.0</v>
      </c>
      <c r="F61" s="33">
        <v>0.0</v>
      </c>
      <c r="G61" s="33">
        <v>2.0</v>
      </c>
      <c r="H61" s="33">
        <v>0.0</v>
      </c>
      <c r="I61" s="33">
        <v>8957.0</v>
      </c>
      <c r="J61" s="33">
        <v>319.0</v>
      </c>
      <c r="K61" s="33">
        <v>63.0</v>
      </c>
      <c r="L61" s="33">
        <v>2.0</v>
      </c>
      <c r="M61" s="33">
        <v>3956.0</v>
      </c>
      <c r="N61" s="33">
        <v>1586.0</v>
      </c>
      <c r="O61" s="33">
        <v>15.0</v>
      </c>
      <c r="P61" s="33">
        <v>0.0</v>
      </c>
      <c r="Q61" s="33">
        <v>80.94976</v>
      </c>
      <c r="R61" s="33">
        <v>14.42</v>
      </c>
    </row>
    <row r="62" ht="15.75" customHeight="1">
      <c r="A62" s="11"/>
      <c r="B62" s="32" t="s">
        <v>68</v>
      </c>
      <c r="C62" s="33">
        <v>41.0</v>
      </c>
      <c r="D62" s="33">
        <v>15734.0</v>
      </c>
      <c r="E62" s="33">
        <v>1458.0</v>
      </c>
      <c r="F62" s="33">
        <v>0.0</v>
      </c>
      <c r="G62" s="33">
        <v>10.0</v>
      </c>
      <c r="H62" s="33">
        <v>0.0</v>
      </c>
      <c r="I62" s="33">
        <v>4294.0</v>
      </c>
      <c r="J62" s="33">
        <v>406.0</v>
      </c>
      <c r="K62" s="33">
        <v>16.0</v>
      </c>
      <c r="L62" s="33">
        <v>0.0</v>
      </c>
      <c r="M62" s="33">
        <v>124.547</v>
      </c>
      <c r="N62" s="33">
        <v>6.22</v>
      </c>
      <c r="O62" s="33">
        <v>2.0</v>
      </c>
      <c r="P62" s="33">
        <v>2.0</v>
      </c>
      <c r="Q62" s="33">
        <v>18.464000000000002</v>
      </c>
      <c r="R62" s="33">
        <v>12.058</v>
      </c>
    </row>
    <row r="63" ht="15.75" customHeight="1">
      <c r="A63" s="11"/>
      <c r="B63" s="32" t="s">
        <v>21</v>
      </c>
      <c r="C63" s="33">
        <v>207.0</v>
      </c>
      <c r="D63" s="33">
        <v>15126.0</v>
      </c>
      <c r="E63" s="33">
        <v>7323.0</v>
      </c>
      <c r="F63" s="33">
        <v>0.0</v>
      </c>
      <c r="G63" s="33">
        <v>32.0</v>
      </c>
      <c r="H63" s="33">
        <v>11.0</v>
      </c>
      <c r="I63" s="33">
        <v>3046.0</v>
      </c>
      <c r="J63" s="33">
        <v>1583.0</v>
      </c>
      <c r="K63" s="33">
        <v>26.0</v>
      </c>
      <c r="L63" s="33">
        <v>0.0</v>
      </c>
      <c r="M63" s="33">
        <v>0.0</v>
      </c>
      <c r="N63" s="33">
        <v>0.0</v>
      </c>
      <c r="O63" s="33">
        <v>10.0</v>
      </c>
      <c r="P63" s="33">
        <v>0.0</v>
      </c>
      <c r="Q63" s="33">
        <v>133.32909999999998</v>
      </c>
      <c r="R63" s="33">
        <v>50.75</v>
      </c>
    </row>
    <row r="64" ht="15.75" customHeight="1">
      <c r="A64" s="11"/>
      <c r="B64" s="32" t="s">
        <v>69</v>
      </c>
      <c r="C64" s="33">
        <v>19.0</v>
      </c>
      <c r="D64" s="33">
        <v>8389.0</v>
      </c>
      <c r="E64" s="33">
        <v>488.0</v>
      </c>
      <c r="F64" s="33">
        <v>0.0</v>
      </c>
      <c r="G64" s="33">
        <v>0.0</v>
      </c>
      <c r="H64" s="33">
        <v>0.0</v>
      </c>
      <c r="I64" s="33">
        <v>2190.0</v>
      </c>
      <c r="J64" s="33">
        <v>82.0</v>
      </c>
      <c r="K64" s="33">
        <v>8.0</v>
      </c>
      <c r="L64" s="33">
        <v>0.0</v>
      </c>
      <c r="M64" s="33">
        <v>595.0</v>
      </c>
      <c r="N64" s="33">
        <v>0.0</v>
      </c>
      <c r="O64" s="33">
        <v>0.0</v>
      </c>
      <c r="P64" s="33">
        <v>0.0</v>
      </c>
      <c r="Q64" s="33">
        <v>18.065</v>
      </c>
      <c r="R64" s="33">
        <v>28.405</v>
      </c>
    </row>
    <row r="65" ht="15.75" customHeight="1">
      <c r="A65" s="16"/>
      <c r="B65" s="32" t="s">
        <v>70</v>
      </c>
      <c r="C65" s="33">
        <v>25.0</v>
      </c>
      <c r="D65" s="33">
        <v>17731.0</v>
      </c>
      <c r="E65" s="33">
        <v>2561.0</v>
      </c>
      <c r="F65" s="33">
        <v>0.0</v>
      </c>
      <c r="G65" s="33">
        <v>2.0</v>
      </c>
      <c r="H65" s="33">
        <v>0.0</v>
      </c>
      <c r="I65" s="33">
        <v>4868.0</v>
      </c>
      <c r="J65" s="33">
        <v>354.0</v>
      </c>
      <c r="K65" s="33">
        <v>16.0</v>
      </c>
      <c r="L65" s="33">
        <v>0.0</v>
      </c>
      <c r="M65" s="33">
        <v>513.0</v>
      </c>
      <c r="N65" s="33">
        <v>1917.25</v>
      </c>
      <c r="O65" s="33">
        <v>0.0</v>
      </c>
      <c r="P65" s="33">
        <v>1.0</v>
      </c>
      <c r="Q65" s="33">
        <v>128.186</v>
      </c>
      <c r="R65" s="33">
        <v>51.06</v>
      </c>
    </row>
    <row r="66" ht="15.75" customHeight="1">
      <c r="A66" s="34" t="s">
        <v>71</v>
      </c>
      <c r="B66" s="30">
        <v>10.0</v>
      </c>
      <c r="C66" s="30">
        <v>1785.0</v>
      </c>
      <c r="D66" s="30">
        <v>535949.0</v>
      </c>
      <c r="E66" s="30">
        <v>92813.0</v>
      </c>
      <c r="F66" s="30">
        <v>3.0</v>
      </c>
      <c r="G66" s="30">
        <v>2354.0</v>
      </c>
      <c r="H66" s="30">
        <v>60.0</v>
      </c>
      <c r="I66" s="30">
        <v>111292.0</v>
      </c>
      <c r="J66" s="30">
        <v>16138.0</v>
      </c>
      <c r="K66" s="30">
        <v>251.0</v>
      </c>
      <c r="L66" s="30">
        <v>9.0</v>
      </c>
      <c r="M66" s="30">
        <v>28015.715</v>
      </c>
      <c r="N66" s="30">
        <v>30913.394</v>
      </c>
      <c r="O66" s="30">
        <v>89.0</v>
      </c>
      <c r="P66" s="30">
        <v>48.0</v>
      </c>
      <c r="Q66" s="30">
        <v>1151.41921</v>
      </c>
      <c r="R66" s="30">
        <v>217.47842999999995</v>
      </c>
    </row>
    <row r="67" ht="15.75" customHeight="1">
      <c r="A67" s="31" t="s">
        <v>72</v>
      </c>
      <c r="B67" s="32" t="s">
        <v>73</v>
      </c>
      <c r="C67" s="33">
        <v>182.0</v>
      </c>
      <c r="D67" s="33">
        <v>24685.0</v>
      </c>
      <c r="E67" s="33">
        <v>20191.0</v>
      </c>
      <c r="F67" s="33">
        <v>3.0</v>
      </c>
      <c r="G67" s="33">
        <v>10.0</v>
      </c>
      <c r="H67" s="33">
        <v>10.0</v>
      </c>
      <c r="I67" s="33">
        <v>7063.0</v>
      </c>
      <c r="J67" s="33">
        <v>1513.0</v>
      </c>
      <c r="K67" s="33">
        <v>28.0</v>
      </c>
      <c r="L67" s="33">
        <v>0.0</v>
      </c>
      <c r="M67" s="33">
        <v>357.07</v>
      </c>
      <c r="N67" s="33">
        <v>1327.35</v>
      </c>
      <c r="O67" s="33">
        <v>0.0</v>
      </c>
      <c r="P67" s="33">
        <v>0.0</v>
      </c>
      <c r="Q67" s="33">
        <v>23.531640000000003</v>
      </c>
      <c r="R67" s="33">
        <v>58.48316</v>
      </c>
    </row>
    <row r="68" ht="15.75" customHeight="1">
      <c r="A68" s="11"/>
      <c r="B68" s="32" t="s">
        <v>74</v>
      </c>
      <c r="C68" s="33">
        <v>124.0</v>
      </c>
      <c r="D68" s="33">
        <v>82756.0</v>
      </c>
      <c r="E68" s="33">
        <v>30394.0</v>
      </c>
      <c r="F68" s="33">
        <v>0.0</v>
      </c>
      <c r="G68" s="33">
        <v>18.0</v>
      </c>
      <c r="H68" s="33">
        <v>2.0</v>
      </c>
      <c r="I68" s="33">
        <v>18324.0</v>
      </c>
      <c r="J68" s="33">
        <v>7115.0</v>
      </c>
      <c r="K68" s="33">
        <v>25.0</v>
      </c>
      <c r="L68" s="33">
        <v>7.0</v>
      </c>
      <c r="M68" s="33">
        <v>82.005</v>
      </c>
      <c r="N68" s="33">
        <v>261.35</v>
      </c>
      <c r="O68" s="33">
        <v>11.0</v>
      </c>
      <c r="P68" s="33">
        <v>17.0</v>
      </c>
      <c r="Q68" s="33">
        <v>45.777</v>
      </c>
      <c r="R68" s="33">
        <v>0.1</v>
      </c>
    </row>
    <row r="69" ht="15.75" customHeight="1">
      <c r="A69" s="11"/>
      <c r="B69" s="32" t="s">
        <v>75</v>
      </c>
      <c r="C69" s="33">
        <v>104.0</v>
      </c>
      <c r="D69" s="33">
        <v>12413.0</v>
      </c>
      <c r="E69" s="33">
        <v>954.0</v>
      </c>
      <c r="F69" s="33">
        <v>0.0</v>
      </c>
      <c r="G69" s="33">
        <v>0.0</v>
      </c>
      <c r="H69" s="33">
        <v>0.0</v>
      </c>
      <c r="I69" s="33">
        <v>3495.0</v>
      </c>
      <c r="J69" s="33">
        <v>244.0</v>
      </c>
      <c r="K69" s="33">
        <v>7.0</v>
      </c>
      <c r="L69" s="33">
        <v>0.0</v>
      </c>
      <c r="M69" s="33">
        <v>192.72</v>
      </c>
      <c r="N69" s="33">
        <v>1282.191</v>
      </c>
      <c r="O69" s="33">
        <v>2.0</v>
      </c>
      <c r="P69" s="33">
        <v>0.0</v>
      </c>
      <c r="Q69" s="33">
        <v>53.02</v>
      </c>
      <c r="R69" s="33">
        <v>0.0</v>
      </c>
    </row>
    <row r="70" ht="15.75" customHeight="1">
      <c r="A70" s="11"/>
      <c r="B70" s="32" t="s">
        <v>76</v>
      </c>
      <c r="C70" s="33">
        <v>17.0</v>
      </c>
      <c r="D70" s="33">
        <v>8549.0</v>
      </c>
      <c r="E70" s="33">
        <v>884.0</v>
      </c>
      <c r="F70" s="33">
        <v>0.0</v>
      </c>
      <c r="G70" s="33">
        <v>0.0</v>
      </c>
      <c r="H70" s="33">
        <v>0.0</v>
      </c>
      <c r="I70" s="33">
        <v>2886.0</v>
      </c>
      <c r="J70" s="33">
        <v>259.0</v>
      </c>
      <c r="K70" s="33">
        <v>3.0</v>
      </c>
      <c r="L70" s="33">
        <v>0.0</v>
      </c>
      <c r="M70" s="33">
        <v>0.0</v>
      </c>
      <c r="N70" s="33">
        <v>249.13</v>
      </c>
      <c r="O70" s="33">
        <v>7.0</v>
      </c>
      <c r="P70" s="33">
        <v>0.0</v>
      </c>
      <c r="Q70" s="33">
        <v>44.223729999999996</v>
      </c>
      <c r="R70" s="33">
        <v>40.29827</v>
      </c>
    </row>
    <row r="71" ht="15.75" customHeight="1">
      <c r="A71" s="11"/>
      <c r="B71" s="32" t="s">
        <v>77</v>
      </c>
      <c r="C71" s="33">
        <v>59.0</v>
      </c>
      <c r="D71" s="33">
        <v>45165.0</v>
      </c>
      <c r="E71" s="33">
        <v>1902.0</v>
      </c>
      <c r="F71" s="33">
        <v>0.0</v>
      </c>
      <c r="G71" s="33">
        <v>2.0</v>
      </c>
      <c r="H71" s="33">
        <v>5.0</v>
      </c>
      <c r="I71" s="33">
        <v>4321.0</v>
      </c>
      <c r="J71" s="33">
        <v>363.0</v>
      </c>
      <c r="K71" s="33">
        <v>23.0</v>
      </c>
      <c r="L71" s="33">
        <v>0.0</v>
      </c>
      <c r="M71" s="33">
        <v>354.1</v>
      </c>
      <c r="N71" s="33">
        <v>864.825</v>
      </c>
      <c r="O71" s="33">
        <v>4.0</v>
      </c>
      <c r="P71" s="33">
        <v>3.0</v>
      </c>
      <c r="Q71" s="33">
        <v>20.03609</v>
      </c>
      <c r="R71" s="33">
        <v>0.0</v>
      </c>
    </row>
    <row r="72" ht="15.75" customHeight="1">
      <c r="A72" s="11"/>
      <c r="B72" s="32" t="s">
        <v>78</v>
      </c>
      <c r="C72" s="33">
        <v>73.0</v>
      </c>
      <c r="D72" s="33">
        <v>27682.0</v>
      </c>
      <c r="E72" s="33">
        <v>5655.0</v>
      </c>
      <c r="F72" s="33">
        <v>0.0</v>
      </c>
      <c r="G72" s="33">
        <v>3.0</v>
      </c>
      <c r="H72" s="33">
        <v>0.0</v>
      </c>
      <c r="I72" s="33">
        <v>7049.0</v>
      </c>
      <c r="J72" s="33">
        <v>655.0</v>
      </c>
      <c r="K72" s="33">
        <v>28.0</v>
      </c>
      <c r="L72" s="33">
        <v>1.0</v>
      </c>
      <c r="M72" s="33">
        <v>105.16</v>
      </c>
      <c r="N72" s="33">
        <v>461.08799999999997</v>
      </c>
      <c r="O72" s="33">
        <v>14.0</v>
      </c>
      <c r="P72" s="33">
        <v>11.0</v>
      </c>
      <c r="Q72" s="33">
        <v>67.983</v>
      </c>
      <c r="R72" s="33">
        <v>29.627</v>
      </c>
    </row>
    <row r="73" ht="15.75" customHeight="1">
      <c r="A73" s="11"/>
      <c r="B73" s="32" t="s">
        <v>79</v>
      </c>
      <c r="C73" s="33">
        <v>291.0</v>
      </c>
      <c r="D73" s="33">
        <v>77729.0</v>
      </c>
      <c r="E73" s="33">
        <v>2407.0</v>
      </c>
      <c r="F73" s="33">
        <v>0.0</v>
      </c>
      <c r="G73" s="33">
        <v>0.0</v>
      </c>
      <c r="H73" s="33">
        <v>2.0</v>
      </c>
      <c r="I73" s="33">
        <v>16129.0</v>
      </c>
      <c r="J73" s="33">
        <v>670.0</v>
      </c>
      <c r="K73" s="33">
        <v>45.0</v>
      </c>
      <c r="L73" s="33">
        <v>0.0</v>
      </c>
      <c r="M73" s="33">
        <v>1114.47</v>
      </c>
      <c r="N73" s="33">
        <v>284.205</v>
      </c>
      <c r="O73" s="33">
        <v>10.0</v>
      </c>
      <c r="P73" s="33">
        <v>7.0</v>
      </c>
      <c r="Q73" s="33">
        <v>137.57</v>
      </c>
      <c r="R73" s="33">
        <v>8.0</v>
      </c>
    </row>
    <row r="74" ht="15.75" customHeight="1">
      <c r="A74" s="11"/>
      <c r="B74" s="32" t="s">
        <v>22</v>
      </c>
      <c r="C74" s="33">
        <v>305.0</v>
      </c>
      <c r="D74" s="33">
        <v>48806.0</v>
      </c>
      <c r="E74" s="33">
        <v>11265.0</v>
      </c>
      <c r="F74" s="33">
        <v>0.0</v>
      </c>
      <c r="G74" s="33">
        <v>2277.0</v>
      </c>
      <c r="H74" s="33">
        <v>38.0</v>
      </c>
      <c r="I74" s="33">
        <v>8616.0</v>
      </c>
      <c r="J74" s="33">
        <v>1728.0</v>
      </c>
      <c r="K74" s="33">
        <v>27.0</v>
      </c>
      <c r="L74" s="33">
        <v>0.0</v>
      </c>
      <c r="M74" s="33">
        <v>1000.0</v>
      </c>
      <c r="N74" s="33">
        <v>0.0</v>
      </c>
      <c r="O74" s="33">
        <v>1.0</v>
      </c>
      <c r="P74" s="33">
        <v>0.0</v>
      </c>
      <c r="Q74" s="33">
        <v>241.95355</v>
      </c>
      <c r="R74" s="33">
        <v>0.2</v>
      </c>
    </row>
    <row r="75" ht="15.75" customHeight="1">
      <c r="A75" s="11"/>
      <c r="B75" s="32" t="s">
        <v>80</v>
      </c>
      <c r="C75" s="33">
        <v>463.0</v>
      </c>
      <c r="D75" s="33">
        <v>179473.0</v>
      </c>
      <c r="E75" s="33">
        <v>9785.0</v>
      </c>
      <c r="F75" s="33">
        <v>0.0</v>
      </c>
      <c r="G75" s="33">
        <v>4.0</v>
      </c>
      <c r="H75" s="33">
        <v>2.0</v>
      </c>
      <c r="I75" s="33">
        <v>35205.0</v>
      </c>
      <c r="J75" s="33">
        <v>1652.0</v>
      </c>
      <c r="K75" s="33">
        <v>48.0</v>
      </c>
      <c r="L75" s="33">
        <v>1.0</v>
      </c>
      <c r="M75" s="33">
        <v>24810.190000000002</v>
      </c>
      <c r="N75" s="33">
        <v>26183.255</v>
      </c>
      <c r="O75" s="33">
        <v>34.0</v>
      </c>
      <c r="P75" s="33">
        <v>10.0</v>
      </c>
      <c r="Q75" s="33">
        <v>408.1042000000001</v>
      </c>
      <c r="R75" s="33">
        <v>59.97</v>
      </c>
    </row>
    <row r="76" ht="15.75" customHeight="1">
      <c r="A76" s="16"/>
      <c r="B76" s="32" t="s">
        <v>81</v>
      </c>
      <c r="C76" s="33">
        <v>167.0</v>
      </c>
      <c r="D76" s="33">
        <v>28691.0</v>
      </c>
      <c r="E76" s="33">
        <v>9376.0</v>
      </c>
      <c r="F76" s="33">
        <v>0.0</v>
      </c>
      <c r="G76" s="33">
        <v>40.0</v>
      </c>
      <c r="H76" s="33">
        <v>1.0</v>
      </c>
      <c r="I76" s="33">
        <v>8204.0</v>
      </c>
      <c r="J76" s="33">
        <v>1939.0</v>
      </c>
      <c r="K76" s="33">
        <v>17.0</v>
      </c>
      <c r="L76" s="33">
        <v>0.0</v>
      </c>
      <c r="M76" s="33">
        <v>0.0</v>
      </c>
      <c r="N76" s="33">
        <v>0.0</v>
      </c>
      <c r="O76" s="33">
        <v>6.0</v>
      </c>
      <c r="P76" s="33">
        <v>0.0</v>
      </c>
      <c r="Q76" s="33">
        <v>109.22</v>
      </c>
      <c r="R76" s="33">
        <v>20.8</v>
      </c>
    </row>
    <row r="77" ht="15.75" customHeight="1">
      <c r="A77" s="34" t="s">
        <v>82</v>
      </c>
      <c r="B77" s="30">
        <v>6.0</v>
      </c>
      <c r="C77" s="30">
        <v>313.0</v>
      </c>
      <c r="D77" s="30">
        <v>60395.0</v>
      </c>
      <c r="E77" s="30">
        <v>9760.0</v>
      </c>
      <c r="F77" s="30">
        <v>7.0</v>
      </c>
      <c r="G77" s="30">
        <v>33.0</v>
      </c>
      <c r="H77" s="30">
        <v>5.0</v>
      </c>
      <c r="I77" s="30">
        <v>13813.0</v>
      </c>
      <c r="J77" s="30">
        <v>913.0</v>
      </c>
      <c r="K77" s="30">
        <v>58.0</v>
      </c>
      <c r="L77" s="30">
        <v>1.0</v>
      </c>
      <c r="M77" s="30">
        <v>10275.44</v>
      </c>
      <c r="N77" s="30">
        <v>5712.79</v>
      </c>
      <c r="O77" s="30">
        <v>31.0</v>
      </c>
      <c r="P77" s="30">
        <v>12.0</v>
      </c>
      <c r="Q77" s="30">
        <v>175.32422</v>
      </c>
      <c r="R77" s="30">
        <v>160.69472000000002</v>
      </c>
    </row>
    <row r="78" ht="15.75" customHeight="1">
      <c r="A78" s="31" t="s">
        <v>83</v>
      </c>
      <c r="B78" s="32" t="s">
        <v>84</v>
      </c>
      <c r="C78" s="33">
        <v>14.0</v>
      </c>
      <c r="D78" s="33">
        <v>3443.0</v>
      </c>
      <c r="E78" s="33">
        <v>168.0</v>
      </c>
      <c r="F78" s="33">
        <v>0.0</v>
      </c>
      <c r="G78" s="33">
        <v>2.0</v>
      </c>
      <c r="H78" s="33">
        <v>0.0</v>
      </c>
      <c r="I78" s="33">
        <v>1054.0</v>
      </c>
      <c r="J78" s="33">
        <v>54.0</v>
      </c>
      <c r="K78" s="33">
        <v>5.0</v>
      </c>
      <c r="L78" s="33">
        <v>0.0</v>
      </c>
      <c r="M78" s="33">
        <v>48.08</v>
      </c>
      <c r="N78" s="33">
        <v>240.42999999999998</v>
      </c>
      <c r="O78" s="33">
        <v>4.0</v>
      </c>
      <c r="P78" s="33">
        <v>2.0</v>
      </c>
      <c r="Q78" s="33">
        <v>12.3284</v>
      </c>
      <c r="R78" s="33">
        <v>1.32</v>
      </c>
    </row>
    <row r="79" ht="15.75" customHeight="1">
      <c r="A79" s="11"/>
      <c r="B79" s="32" t="s">
        <v>85</v>
      </c>
      <c r="C79" s="33">
        <v>30.0</v>
      </c>
      <c r="D79" s="33">
        <v>4373.0</v>
      </c>
      <c r="E79" s="33">
        <v>209.0</v>
      </c>
      <c r="F79" s="33">
        <v>0.0</v>
      </c>
      <c r="G79" s="33">
        <v>1.0</v>
      </c>
      <c r="H79" s="33">
        <v>0.0</v>
      </c>
      <c r="I79" s="33">
        <v>1060.0</v>
      </c>
      <c r="J79" s="33">
        <v>40.0</v>
      </c>
      <c r="K79" s="33">
        <v>3.0</v>
      </c>
      <c r="L79" s="33">
        <v>0.0</v>
      </c>
      <c r="M79" s="33">
        <v>154.85</v>
      </c>
      <c r="N79" s="33">
        <v>29.0</v>
      </c>
      <c r="O79" s="33">
        <v>0.0</v>
      </c>
      <c r="P79" s="33">
        <v>0.0</v>
      </c>
      <c r="Q79" s="33">
        <v>10.0</v>
      </c>
      <c r="R79" s="33">
        <v>3.5</v>
      </c>
    </row>
    <row r="80" ht="15.75" customHeight="1">
      <c r="A80" s="11"/>
      <c r="B80" s="32" t="s">
        <v>86</v>
      </c>
      <c r="C80" s="33">
        <v>31.0</v>
      </c>
      <c r="D80" s="33">
        <v>9420.0</v>
      </c>
      <c r="E80" s="33">
        <v>2429.0</v>
      </c>
      <c r="F80" s="33">
        <v>0.0</v>
      </c>
      <c r="G80" s="33">
        <v>1.0</v>
      </c>
      <c r="H80" s="33">
        <v>0.0</v>
      </c>
      <c r="I80" s="33">
        <v>2653.0</v>
      </c>
      <c r="J80" s="33">
        <v>23.0</v>
      </c>
      <c r="K80" s="33">
        <v>3.0</v>
      </c>
      <c r="L80" s="33">
        <v>0.0</v>
      </c>
      <c r="M80" s="33">
        <v>41.51</v>
      </c>
      <c r="N80" s="33">
        <v>5.65</v>
      </c>
      <c r="O80" s="33">
        <v>1.0</v>
      </c>
      <c r="P80" s="33">
        <v>0.0</v>
      </c>
      <c r="Q80" s="33">
        <v>0.05</v>
      </c>
      <c r="R80" s="33">
        <v>0.0</v>
      </c>
    </row>
    <row r="81" ht="15.75" customHeight="1">
      <c r="A81" s="11"/>
      <c r="B81" s="32" t="s">
        <v>87</v>
      </c>
      <c r="C81" s="33">
        <v>9.0</v>
      </c>
      <c r="D81" s="33">
        <v>5068.0</v>
      </c>
      <c r="E81" s="33">
        <v>120.0</v>
      </c>
      <c r="F81" s="33">
        <v>0.0</v>
      </c>
      <c r="G81" s="33">
        <v>3.0</v>
      </c>
      <c r="H81" s="33">
        <v>0.0</v>
      </c>
      <c r="I81" s="33">
        <v>1230.0</v>
      </c>
      <c r="J81" s="33">
        <v>11.0</v>
      </c>
      <c r="K81" s="33">
        <v>3.0</v>
      </c>
      <c r="L81" s="33">
        <v>0.0</v>
      </c>
      <c r="M81" s="33">
        <v>1.0</v>
      </c>
      <c r="N81" s="33">
        <v>111.42</v>
      </c>
      <c r="O81" s="33">
        <v>3.0</v>
      </c>
      <c r="P81" s="33">
        <v>0.0</v>
      </c>
      <c r="Q81" s="33">
        <v>10.55</v>
      </c>
      <c r="R81" s="33">
        <v>3.52</v>
      </c>
    </row>
    <row r="82" ht="15.75" customHeight="1">
      <c r="A82" s="11"/>
      <c r="B82" s="32" t="s">
        <v>23</v>
      </c>
      <c r="C82" s="33">
        <v>154.0</v>
      </c>
      <c r="D82" s="33">
        <v>23329.0</v>
      </c>
      <c r="E82" s="33">
        <v>4463.0</v>
      </c>
      <c r="F82" s="33">
        <v>7.0</v>
      </c>
      <c r="G82" s="33">
        <v>20.0</v>
      </c>
      <c r="H82" s="33">
        <v>4.0</v>
      </c>
      <c r="I82" s="33">
        <v>4029.0</v>
      </c>
      <c r="J82" s="33">
        <v>555.0</v>
      </c>
      <c r="K82" s="33">
        <v>27.0</v>
      </c>
      <c r="L82" s="33">
        <v>0.0</v>
      </c>
      <c r="M82" s="33">
        <v>30.0</v>
      </c>
      <c r="N82" s="33">
        <v>120.0</v>
      </c>
      <c r="O82" s="33">
        <v>11.0</v>
      </c>
      <c r="P82" s="33">
        <v>4.0</v>
      </c>
      <c r="Q82" s="33">
        <v>91.31572</v>
      </c>
      <c r="R82" s="33">
        <v>101.83272</v>
      </c>
    </row>
    <row r="83" ht="15.75" customHeight="1">
      <c r="A83" s="16"/>
      <c r="B83" s="32" t="s">
        <v>88</v>
      </c>
      <c r="C83" s="33">
        <v>75.0</v>
      </c>
      <c r="D83" s="33">
        <v>14762.0</v>
      </c>
      <c r="E83" s="33">
        <v>2371.0</v>
      </c>
      <c r="F83" s="33">
        <v>0.0</v>
      </c>
      <c r="G83" s="33">
        <v>6.0</v>
      </c>
      <c r="H83" s="33">
        <v>1.0</v>
      </c>
      <c r="I83" s="33">
        <v>3787.0</v>
      </c>
      <c r="J83" s="33">
        <v>230.0</v>
      </c>
      <c r="K83" s="33">
        <v>17.0</v>
      </c>
      <c r="L83" s="33">
        <v>1.0</v>
      </c>
      <c r="M83" s="33">
        <v>10000.0</v>
      </c>
      <c r="N83" s="33">
        <v>5206.29</v>
      </c>
      <c r="O83" s="33">
        <v>12.0</v>
      </c>
      <c r="P83" s="33">
        <v>6.0</v>
      </c>
      <c r="Q83" s="33">
        <v>51.0801</v>
      </c>
      <c r="R83" s="33">
        <v>50.522000000000006</v>
      </c>
    </row>
    <row r="84" ht="15.75" customHeight="1">
      <c r="A84" s="34" t="s">
        <v>89</v>
      </c>
      <c r="B84" s="30">
        <v>8.0</v>
      </c>
      <c r="C84" s="30">
        <v>578.0</v>
      </c>
      <c r="D84" s="30">
        <v>159933.0</v>
      </c>
      <c r="E84" s="30">
        <v>17611.0</v>
      </c>
      <c r="F84" s="30">
        <v>0.0</v>
      </c>
      <c r="G84" s="30">
        <v>21.0</v>
      </c>
      <c r="H84" s="30">
        <v>12.0</v>
      </c>
      <c r="I84" s="30">
        <v>32288.0</v>
      </c>
      <c r="J84" s="30">
        <v>5296.0</v>
      </c>
      <c r="K84" s="30">
        <v>134.0</v>
      </c>
      <c r="L84" s="30">
        <v>5.0</v>
      </c>
      <c r="M84" s="30">
        <v>15694.52</v>
      </c>
      <c r="N84" s="30">
        <v>183.99</v>
      </c>
      <c r="O84" s="30">
        <v>13.0</v>
      </c>
      <c r="P84" s="30">
        <v>3.0</v>
      </c>
      <c r="Q84" s="30">
        <v>281.65875</v>
      </c>
      <c r="R84" s="30">
        <v>111.9967</v>
      </c>
    </row>
    <row r="85" ht="15.75" customHeight="1">
      <c r="A85" s="31" t="s">
        <v>90</v>
      </c>
      <c r="B85" s="32" t="s">
        <v>91</v>
      </c>
      <c r="C85" s="33">
        <v>43.0</v>
      </c>
      <c r="D85" s="33">
        <v>9638.0</v>
      </c>
      <c r="E85" s="33">
        <v>1089.0</v>
      </c>
      <c r="F85" s="33">
        <v>0.0</v>
      </c>
      <c r="G85" s="33">
        <v>2.0</v>
      </c>
      <c r="H85" s="33">
        <v>1.0</v>
      </c>
      <c r="I85" s="33">
        <v>2827.0</v>
      </c>
      <c r="J85" s="33">
        <v>306.0</v>
      </c>
      <c r="K85" s="33">
        <v>13.0</v>
      </c>
      <c r="L85" s="33">
        <v>1.0</v>
      </c>
      <c r="M85" s="33">
        <v>100.0</v>
      </c>
      <c r="N85" s="33">
        <v>15.0</v>
      </c>
      <c r="O85" s="33">
        <v>4.0</v>
      </c>
      <c r="P85" s="33">
        <v>0.0</v>
      </c>
      <c r="Q85" s="33">
        <v>27.078</v>
      </c>
      <c r="R85" s="33">
        <v>0.02</v>
      </c>
    </row>
    <row r="86" ht="15.75" customHeight="1">
      <c r="A86" s="11"/>
      <c r="B86" s="32" t="s">
        <v>92</v>
      </c>
      <c r="C86" s="33">
        <v>25.0</v>
      </c>
      <c r="D86" s="33">
        <v>13436.0</v>
      </c>
      <c r="E86" s="33">
        <v>2741.0</v>
      </c>
      <c r="F86" s="33">
        <v>0.0</v>
      </c>
      <c r="G86" s="33">
        <v>0.0</v>
      </c>
      <c r="H86" s="33">
        <v>0.0</v>
      </c>
      <c r="I86" s="33">
        <v>2997.0</v>
      </c>
      <c r="J86" s="33">
        <v>647.0</v>
      </c>
      <c r="K86" s="33">
        <v>13.0</v>
      </c>
      <c r="L86" s="33">
        <v>0.0</v>
      </c>
      <c r="M86" s="33">
        <v>0.0</v>
      </c>
      <c r="N86" s="33">
        <v>0.0</v>
      </c>
      <c r="O86" s="33">
        <v>0.0</v>
      </c>
      <c r="P86" s="33">
        <v>0.0</v>
      </c>
      <c r="Q86" s="33">
        <v>21.66805</v>
      </c>
      <c r="R86" s="33">
        <v>1.7029999999999998</v>
      </c>
    </row>
    <row r="87" ht="15.75" customHeight="1">
      <c r="A87" s="11"/>
      <c r="B87" s="32" t="s">
        <v>93</v>
      </c>
      <c r="C87" s="33">
        <v>53.0</v>
      </c>
      <c r="D87" s="33">
        <v>32748.0</v>
      </c>
      <c r="E87" s="33">
        <v>739.0</v>
      </c>
      <c r="F87" s="33">
        <v>0.0</v>
      </c>
      <c r="G87" s="33">
        <v>0.0</v>
      </c>
      <c r="H87" s="33">
        <v>0.0</v>
      </c>
      <c r="I87" s="33">
        <v>3731.0</v>
      </c>
      <c r="J87" s="33">
        <v>85.0</v>
      </c>
      <c r="K87" s="33">
        <v>19.0</v>
      </c>
      <c r="L87" s="33">
        <v>2.0</v>
      </c>
      <c r="M87" s="33">
        <v>182.3</v>
      </c>
      <c r="N87" s="33">
        <v>87.3</v>
      </c>
      <c r="O87" s="33">
        <v>0.0</v>
      </c>
      <c r="P87" s="33">
        <v>0.0</v>
      </c>
      <c r="Q87" s="33">
        <v>0.5</v>
      </c>
      <c r="R87" s="33">
        <v>0.0</v>
      </c>
    </row>
    <row r="88" ht="15.75" customHeight="1">
      <c r="A88" s="11"/>
      <c r="B88" s="32" t="s">
        <v>94</v>
      </c>
      <c r="C88" s="33">
        <v>80.0</v>
      </c>
      <c r="D88" s="33">
        <v>54052.0</v>
      </c>
      <c r="E88" s="33">
        <v>3693.0</v>
      </c>
      <c r="F88" s="33">
        <v>0.0</v>
      </c>
      <c r="G88" s="33">
        <v>0.0</v>
      </c>
      <c r="H88" s="33">
        <v>1.0</v>
      </c>
      <c r="I88" s="33">
        <v>6976.0</v>
      </c>
      <c r="J88" s="33">
        <v>1358.0</v>
      </c>
      <c r="K88" s="33">
        <v>13.0</v>
      </c>
      <c r="L88" s="33">
        <v>1.0</v>
      </c>
      <c r="M88" s="33">
        <v>13422.0</v>
      </c>
      <c r="N88" s="33">
        <v>73.0</v>
      </c>
      <c r="O88" s="33">
        <v>1.0</v>
      </c>
      <c r="P88" s="33">
        <v>0.0</v>
      </c>
      <c r="Q88" s="33">
        <v>93.05299999999998</v>
      </c>
      <c r="R88" s="33">
        <v>62.45</v>
      </c>
    </row>
    <row r="89" ht="15.75" customHeight="1">
      <c r="A89" s="11"/>
      <c r="B89" s="32" t="s">
        <v>95</v>
      </c>
      <c r="C89" s="33">
        <v>31.0</v>
      </c>
      <c r="D89" s="33">
        <v>12563.0</v>
      </c>
      <c r="E89" s="33">
        <v>1471.0</v>
      </c>
      <c r="F89" s="33">
        <v>0.0</v>
      </c>
      <c r="G89" s="33">
        <v>5.0</v>
      </c>
      <c r="H89" s="33">
        <v>0.0</v>
      </c>
      <c r="I89" s="33">
        <v>4092.0</v>
      </c>
      <c r="J89" s="33">
        <v>256.0</v>
      </c>
      <c r="K89" s="33">
        <v>8.0</v>
      </c>
      <c r="L89" s="33">
        <v>0.0</v>
      </c>
      <c r="M89" s="33">
        <v>866.18</v>
      </c>
      <c r="N89" s="33">
        <v>0.0</v>
      </c>
      <c r="O89" s="33">
        <v>0.0</v>
      </c>
      <c r="P89" s="33">
        <v>1.0</v>
      </c>
      <c r="Q89" s="33">
        <v>10.0</v>
      </c>
      <c r="R89" s="33">
        <v>11.120000000000001</v>
      </c>
    </row>
    <row r="90" ht="15.75" customHeight="1">
      <c r="A90" s="11"/>
      <c r="B90" s="32" t="s">
        <v>96</v>
      </c>
      <c r="C90" s="33">
        <v>68.0</v>
      </c>
      <c r="D90" s="33">
        <v>10671.0</v>
      </c>
      <c r="E90" s="33">
        <v>1111.0</v>
      </c>
      <c r="F90" s="33">
        <v>0.0</v>
      </c>
      <c r="G90" s="33">
        <v>0.0</v>
      </c>
      <c r="H90" s="33">
        <v>1.0</v>
      </c>
      <c r="I90" s="33">
        <v>2552.0</v>
      </c>
      <c r="J90" s="33">
        <v>411.0</v>
      </c>
      <c r="K90" s="33">
        <v>42.0</v>
      </c>
      <c r="L90" s="33">
        <v>0.0</v>
      </c>
      <c r="M90" s="33">
        <v>673.04</v>
      </c>
      <c r="N90" s="33">
        <v>8.690000000000001</v>
      </c>
      <c r="O90" s="33">
        <v>4.0</v>
      </c>
      <c r="P90" s="33">
        <v>0.0</v>
      </c>
      <c r="Q90" s="33">
        <v>66.7784</v>
      </c>
      <c r="R90" s="33">
        <v>28.988999999999997</v>
      </c>
    </row>
    <row r="91" ht="15.75" customHeight="1">
      <c r="A91" s="11"/>
      <c r="B91" s="32" t="s">
        <v>58</v>
      </c>
      <c r="C91" s="33">
        <v>19.0</v>
      </c>
      <c r="D91" s="33">
        <v>11522.0</v>
      </c>
      <c r="E91" s="33">
        <v>230.0</v>
      </c>
      <c r="F91" s="33">
        <v>0.0</v>
      </c>
      <c r="G91" s="33">
        <v>7.0</v>
      </c>
      <c r="H91" s="33">
        <v>0.0</v>
      </c>
      <c r="I91" s="33">
        <v>3613.0</v>
      </c>
      <c r="J91" s="33">
        <v>79.0</v>
      </c>
      <c r="K91" s="33">
        <v>3.0</v>
      </c>
      <c r="L91" s="33">
        <v>1.0</v>
      </c>
      <c r="M91" s="33">
        <v>36.0</v>
      </c>
      <c r="N91" s="33">
        <v>0.0</v>
      </c>
      <c r="O91" s="33">
        <v>0.0</v>
      </c>
      <c r="P91" s="33">
        <v>0.0</v>
      </c>
      <c r="Q91" s="33">
        <v>36.05</v>
      </c>
      <c r="R91" s="33">
        <v>0.025</v>
      </c>
    </row>
    <row r="92" ht="15.75" customHeight="1">
      <c r="A92" s="35"/>
      <c r="B92" s="32" t="s">
        <v>24</v>
      </c>
      <c r="C92" s="33">
        <v>259.0</v>
      </c>
      <c r="D92" s="33">
        <v>15303.0</v>
      </c>
      <c r="E92" s="33">
        <v>6537.0</v>
      </c>
      <c r="F92" s="33">
        <v>0.0</v>
      </c>
      <c r="G92" s="33">
        <v>7.0</v>
      </c>
      <c r="H92" s="33">
        <v>9.0</v>
      </c>
      <c r="I92" s="33">
        <v>5500.0</v>
      </c>
      <c r="J92" s="33">
        <v>2154.0</v>
      </c>
      <c r="K92" s="33">
        <v>23.0</v>
      </c>
      <c r="L92" s="33">
        <v>0.0</v>
      </c>
      <c r="M92" s="33">
        <v>415.0</v>
      </c>
      <c r="N92" s="33">
        <v>0.0</v>
      </c>
      <c r="O92" s="33">
        <v>4.0</v>
      </c>
      <c r="P92" s="33">
        <v>2.0</v>
      </c>
      <c r="Q92" s="33">
        <v>26.5313</v>
      </c>
      <c r="R92" s="33">
        <v>7.6897</v>
      </c>
    </row>
    <row r="93" ht="15.75" customHeight="1">
      <c r="A93" s="34" t="s">
        <v>97</v>
      </c>
      <c r="B93" s="30">
        <v>6.0</v>
      </c>
      <c r="C93" s="30">
        <v>244.0</v>
      </c>
      <c r="D93" s="30">
        <v>57197.0</v>
      </c>
      <c r="E93" s="30">
        <v>6207.0</v>
      </c>
      <c r="F93" s="30">
        <v>0.0</v>
      </c>
      <c r="G93" s="30">
        <v>8.0</v>
      </c>
      <c r="H93" s="30">
        <v>4.0</v>
      </c>
      <c r="I93" s="30">
        <v>14454.0</v>
      </c>
      <c r="J93" s="30">
        <v>5146.0</v>
      </c>
      <c r="K93" s="30">
        <v>55.0</v>
      </c>
      <c r="L93" s="30">
        <v>5.0</v>
      </c>
      <c r="M93" s="30">
        <v>0.0</v>
      </c>
      <c r="N93" s="30">
        <v>0.0</v>
      </c>
      <c r="O93" s="30">
        <v>3.0</v>
      </c>
      <c r="P93" s="30">
        <v>0.0</v>
      </c>
      <c r="Q93" s="30">
        <v>149.6</v>
      </c>
      <c r="R93" s="30">
        <v>135.61</v>
      </c>
    </row>
    <row r="94" ht="15.75" customHeight="1">
      <c r="A94" s="31" t="s">
        <v>98</v>
      </c>
      <c r="B94" s="32" t="s">
        <v>99</v>
      </c>
      <c r="C94" s="33">
        <v>28.0</v>
      </c>
      <c r="D94" s="33">
        <v>1184.0</v>
      </c>
      <c r="E94" s="33">
        <v>258.0</v>
      </c>
      <c r="F94" s="33">
        <v>0.0</v>
      </c>
      <c r="G94" s="33">
        <v>2.0</v>
      </c>
      <c r="H94" s="33">
        <v>0.0</v>
      </c>
      <c r="I94" s="33">
        <v>337.0</v>
      </c>
      <c r="J94" s="33">
        <v>91.0</v>
      </c>
      <c r="K94" s="33">
        <v>0.0</v>
      </c>
      <c r="L94" s="33">
        <v>3.0</v>
      </c>
      <c r="M94" s="33">
        <v>0.0</v>
      </c>
      <c r="N94" s="33">
        <v>0.0</v>
      </c>
      <c r="O94" s="33">
        <v>0.0</v>
      </c>
      <c r="P94" s="33">
        <v>0.0</v>
      </c>
      <c r="Q94" s="33">
        <v>27.1</v>
      </c>
      <c r="R94" s="33">
        <v>23.83</v>
      </c>
    </row>
    <row r="95" ht="15.75" customHeight="1">
      <c r="A95" s="11"/>
      <c r="B95" s="32" t="s">
        <v>100</v>
      </c>
      <c r="C95" s="33">
        <v>27.0</v>
      </c>
      <c r="D95" s="33">
        <v>2482.0</v>
      </c>
      <c r="E95" s="33">
        <v>423.0</v>
      </c>
      <c r="F95" s="33">
        <v>0.0</v>
      </c>
      <c r="G95" s="33">
        <v>0.0</v>
      </c>
      <c r="H95" s="33">
        <v>1.0</v>
      </c>
      <c r="I95" s="33">
        <v>741.0</v>
      </c>
      <c r="J95" s="33">
        <v>114.0</v>
      </c>
      <c r="K95" s="33">
        <v>4.0</v>
      </c>
      <c r="L95" s="33">
        <v>2.0</v>
      </c>
      <c r="M95" s="33">
        <v>0.0</v>
      </c>
      <c r="N95" s="33">
        <v>0.0</v>
      </c>
      <c r="O95" s="33">
        <v>0.0</v>
      </c>
      <c r="P95" s="33">
        <v>0.0</v>
      </c>
      <c r="Q95" s="33">
        <v>19.89</v>
      </c>
      <c r="R95" s="33">
        <v>19.77</v>
      </c>
    </row>
    <row r="96" ht="15.75" customHeight="1">
      <c r="A96" s="11"/>
      <c r="B96" s="32" t="s">
        <v>101</v>
      </c>
      <c r="C96" s="33">
        <v>12.0</v>
      </c>
      <c r="D96" s="33">
        <v>4128.0</v>
      </c>
      <c r="E96" s="33">
        <v>486.0</v>
      </c>
      <c r="F96" s="33">
        <v>0.0</v>
      </c>
      <c r="G96" s="33">
        <v>0.0</v>
      </c>
      <c r="H96" s="33">
        <v>0.0</v>
      </c>
      <c r="I96" s="33">
        <v>1142.0</v>
      </c>
      <c r="J96" s="33">
        <v>111.0</v>
      </c>
      <c r="K96" s="33">
        <v>4.0</v>
      </c>
      <c r="L96" s="33">
        <v>0.0</v>
      </c>
      <c r="M96" s="33">
        <v>0.0</v>
      </c>
      <c r="N96" s="33">
        <v>0.0</v>
      </c>
      <c r="O96" s="33">
        <v>0.0</v>
      </c>
      <c r="P96" s="33">
        <v>0.0</v>
      </c>
      <c r="Q96" s="33">
        <v>35.57</v>
      </c>
      <c r="R96" s="33">
        <v>31.409999999999997</v>
      </c>
    </row>
    <row r="97" ht="15.75" customHeight="1">
      <c r="A97" s="11"/>
      <c r="B97" s="32" t="s">
        <v>102</v>
      </c>
      <c r="C97" s="33">
        <v>23.0</v>
      </c>
      <c r="D97" s="33">
        <v>11164.0</v>
      </c>
      <c r="E97" s="33">
        <v>139.0</v>
      </c>
      <c r="F97" s="33">
        <v>0.0</v>
      </c>
      <c r="G97" s="33">
        <v>0.0</v>
      </c>
      <c r="H97" s="33">
        <v>1.0</v>
      </c>
      <c r="I97" s="33">
        <v>2444.0</v>
      </c>
      <c r="J97" s="33">
        <v>29.0</v>
      </c>
      <c r="K97" s="33">
        <v>3.0</v>
      </c>
      <c r="L97" s="33">
        <v>0.0</v>
      </c>
      <c r="M97" s="33">
        <v>0.0</v>
      </c>
      <c r="N97" s="33">
        <v>0.0</v>
      </c>
      <c r="O97" s="33">
        <v>0.0</v>
      </c>
      <c r="P97" s="33">
        <v>0.0</v>
      </c>
      <c r="Q97" s="33">
        <v>5.99</v>
      </c>
      <c r="R97" s="33">
        <v>2.71</v>
      </c>
    </row>
    <row r="98" ht="15.75" customHeight="1">
      <c r="A98" s="11"/>
      <c r="B98" s="32" t="s">
        <v>103</v>
      </c>
      <c r="C98" s="33">
        <v>62.0</v>
      </c>
      <c r="D98" s="33">
        <v>18815.0</v>
      </c>
      <c r="E98" s="33">
        <v>191.0</v>
      </c>
      <c r="F98" s="33">
        <v>0.0</v>
      </c>
      <c r="G98" s="33">
        <v>4.0</v>
      </c>
      <c r="H98" s="33">
        <v>1.0</v>
      </c>
      <c r="I98" s="33">
        <v>1148.0</v>
      </c>
      <c r="J98" s="33">
        <v>56.0</v>
      </c>
      <c r="K98" s="33">
        <v>4.0</v>
      </c>
      <c r="L98" s="33">
        <v>0.0</v>
      </c>
      <c r="M98" s="33">
        <v>0.0</v>
      </c>
      <c r="N98" s="33">
        <v>0.0</v>
      </c>
      <c r="O98" s="33">
        <v>0.0</v>
      </c>
      <c r="P98" s="33">
        <v>0.0</v>
      </c>
      <c r="Q98" s="33">
        <v>16.9</v>
      </c>
      <c r="R98" s="33">
        <v>0.39</v>
      </c>
    </row>
    <row r="99" ht="15.75" customHeight="1">
      <c r="A99" s="16"/>
      <c r="B99" s="32" t="s">
        <v>104</v>
      </c>
      <c r="C99" s="33">
        <v>92.0</v>
      </c>
      <c r="D99" s="33">
        <v>19424.0</v>
      </c>
      <c r="E99" s="33">
        <v>4710.0</v>
      </c>
      <c r="F99" s="33">
        <v>0.0</v>
      </c>
      <c r="G99" s="33">
        <v>2.0</v>
      </c>
      <c r="H99" s="33">
        <v>1.0</v>
      </c>
      <c r="I99" s="33">
        <v>8642.0</v>
      </c>
      <c r="J99" s="33">
        <v>4745.0</v>
      </c>
      <c r="K99" s="33">
        <v>40.0</v>
      </c>
      <c r="L99" s="33">
        <v>0.0</v>
      </c>
      <c r="M99" s="33">
        <v>0.0</v>
      </c>
      <c r="N99" s="33">
        <v>0.0</v>
      </c>
      <c r="O99" s="33">
        <v>3.0</v>
      </c>
      <c r="P99" s="33">
        <v>0.0</v>
      </c>
      <c r="Q99" s="33">
        <v>44.150000000000006</v>
      </c>
      <c r="R99" s="33">
        <v>57.5</v>
      </c>
    </row>
    <row r="100" ht="15.75" customHeight="1">
      <c r="A100" s="24" t="s">
        <v>26</v>
      </c>
      <c r="B100" s="6"/>
      <c r="C100" s="6"/>
      <c r="D100" s="6"/>
      <c r="E100" s="6"/>
    </row>
    <row r="101" ht="15.75" customHeight="1">
      <c r="A101" s="25" t="s">
        <v>27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L7:M7"/>
    <mergeCell ref="N7:O7"/>
    <mergeCell ref="A4:Q4"/>
    <mergeCell ref="A6:A8"/>
    <mergeCell ref="C6:G7"/>
    <mergeCell ref="H6:Q6"/>
    <mergeCell ref="H7:I7"/>
    <mergeCell ref="J7:K7"/>
    <mergeCell ref="P7:Q7"/>
    <mergeCell ref="D23:H24"/>
    <mergeCell ref="I23:R23"/>
    <mergeCell ref="I24:J24"/>
    <mergeCell ref="K24:L24"/>
    <mergeCell ref="M24:N24"/>
    <mergeCell ref="O24:P24"/>
    <mergeCell ref="Q24:R24"/>
    <mergeCell ref="B6:B8"/>
    <mergeCell ref="A18:E18"/>
    <mergeCell ref="A19:E19"/>
    <mergeCell ref="A21:R21"/>
    <mergeCell ref="A23:A25"/>
    <mergeCell ref="B23:B25"/>
    <mergeCell ref="C23:C25"/>
    <mergeCell ref="A94:A99"/>
    <mergeCell ref="A100:E100"/>
    <mergeCell ref="A101:E101"/>
    <mergeCell ref="A28:A37"/>
    <mergeCell ref="A39:A46"/>
    <mergeCell ref="A48:A57"/>
    <mergeCell ref="A59:A65"/>
    <mergeCell ref="A67:A76"/>
    <mergeCell ref="A78:A83"/>
    <mergeCell ref="A85:A92"/>
  </mergeCells>
  <printOptions horizontalCentered="1"/>
  <pageMargins bottom="0.0" footer="0.0" header="0.0" left="0.0" right="0.0" top="0.15748031496062992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2024-01-26T22:39:42Z</dcterms:created>
  <dc:creator>Rony PINEDO Torres</dc:creator>
</cp:coreProperties>
</file>