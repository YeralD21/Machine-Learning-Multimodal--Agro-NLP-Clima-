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pinedo\Desktop\BD_2003-2024_TABLAS_21AGOSTO_025\TABLAS EMERG Y DAÑOS POR DISTR, PROVIN Y DPTO  2003-2024\2_EMERG SEGUN PELIGROS_POR _DPTO_PROV_DIST_2003 - 2024\"/>
    </mc:Choice>
  </mc:AlternateContent>
  <xr:revisionPtr revIDLastSave="0" documentId="13_ncr:1_{37CCD5B1-4A59-4B54-934A-61A4B29A1A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LIGRO_PIURA" sheetId="2" r:id="rId1"/>
  </sheets>
  <definedNames>
    <definedName name="A">#REF!</definedName>
    <definedName name="AS">#REF!</definedName>
    <definedName name="B">#REF!</definedName>
    <definedName name="BUENA_VISTA_ALTA">#REF!</definedName>
    <definedName name="CALLAO">#REF!</definedName>
    <definedName name="CASMA">#REF!</definedName>
    <definedName name="DIST._CASMA">#REF!</definedName>
    <definedName name="YOL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0" i="2" l="1"/>
  <c r="V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C8" i="2"/>
  <c r="B40" i="2"/>
  <c r="J8" i="2"/>
  <c r="I8" i="2"/>
  <c r="H8" i="2"/>
  <c r="G8" i="2"/>
  <c r="F8" i="2"/>
  <c r="E8" i="2"/>
  <c r="D8" i="2"/>
  <c r="B8" i="2"/>
</calcChain>
</file>

<file path=xl/sharedStrings.xml><?xml version="1.0" encoding="utf-8"?>
<sst xmlns="http://schemas.openxmlformats.org/spreadsheetml/2006/main" count="134" uniqueCount="102">
  <si>
    <t>PELIGRO</t>
  </si>
  <si>
    <t>TOTAL EMERGENCIA</t>
  </si>
  <si>
    <t xml:space="preserve">PROVINCIAS DEL DEPARTAMENTO DE PIURA </t>
  </si>
  <si>
    <t>AYABACA</t>
  </si>
  <si>
    <t>HUANCABAMBA</t>
  </si>
  <si>
    <t>MORROPÓN</t>
  </si>
  <si>
    <t>PAITA</t>
  </si>
  <si>
    <t>PIURA</t>
  </si>
  <si>
    <t>SECHURA</t>
  </si>
  <si>
    <t>SULLANA</t>
  </si>
  <si>
    <t>TALARA</t>
  </si>
  <si>
    <t xml:space="preserve">TOTAL GENERAL </t>
  </si>
  <si>
    <t>BAJAS TEMPERATURAS</t>
  </si>
  <si>
    <t>DERRUMBE DE CERRO</t>
  </si>
  <si>
    <t>DESLIZAMIENTO</t>
  </si>
  <si>
    <t>EPIDEMIAS</t>
  </si>
  <si>
    <t>EROSIÓN</t>
  </si>
  <si>
    <t>EXPLOSIÓN</t>
  </si>
  <si>
    <t>HUAYCO</t>
  </si>
  <si>
    <t>INCENDIO FORESTAL</t>
  </si>
  <si>
    <t>INCENDIO URB. E INDUST.</t>
  </si>
  <si>
    <t>INUNDACIÓN</t>
  </si>
  <si>
    <t>LLUVIA INTENSA</t>
  </si>
  <si>
    <t>MAREJADA</t>
  </si>
  <si>
    <t>PLAGAS</t>
  </si>
  <si>
    <t>SEQUÍA</t>
  </si>
  <si>
    <t>SISMO</t>
  </si>
  <si>
    <t>TORMENTA ELÉCTRICA</t>
  </si>
  <si>
    <t>OTROS</t>
  </si>
  <si>
    <t>Elaboración :  Sub Dirección de Aplicaciones Estadísticas - DIPPE - INDECI</t>
  </si>
  <si>
    <t>PROVINCIA / DISTRITO</t>
  </si>
  <si>
    <t>TOTAL EMERGENCIAS</t>
  </si>
  <si>
    <t>JILILI</t>
  </si>
  <si>
    <t>LAGUNAS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</si>
  <si>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</si>
  <si>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</si>
  <si>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</si>
  <si>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</si>
  <si>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</si>
  <si>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</si>
  <si>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</si>
  <si>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</si>
  <si>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</si>
  <si>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</si>
  <si>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</si>
  <si>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</si>
  <si>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</si>
  <si>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BUENOS AIRES</t>
  </si>
  <si>
    <t>CHALACO</t>
  </si>
  <si>
    <t>CHULUCANAS</t>
  </si>
  <si>
    <t>LA MATANZA</t>
  </si>
  <si>
    <t>SALITRAL</t>
  </si>
  <si>
    <t>SAN JUAN DE BIGOTE</t>
  </si>
  <si>
    <t>SANTA CATALINA DE MOSSA</t>
  </si>
  <si>
    <t>SANTO DOMINGO</t>
  </si>
  <si>
    <t>YAMANGO</t>
  </si>
  <si>
    <t>AMOTAPE</t>
  </si>
  <si>
    <t>ARENAL</t>
  </si>
  <si>
    <t>COLÁN</t>
  </si>
  <si>
    <t>LA HUACA</t>
  </si>
  <si>
    <t>TAMARINDO</t>
  </si>
  <si>
    <t>VICHAYAL</t>
  </si>
  <si>
    <t>CASTILLA</t>
  </si>
  <si>
    <t>CATACAOS</t>
  </si>
  <si>
    <t>CURA MORI</t>
  </si>
  <si>
    <t>EL TALLÁN</t>
  </si>
  <si>
    <t>LA ARENA</t>
  </si>
  <si>
    <t>LA UNIÓN</t>
  </si>
  <si>
    <t>LAS LOMAS</t>
  </si>
  <si>
    <t>TAMBO GRANDE</t>
  </si>
  <si>
    <t>VEINTISÉIS DE OCTUBRE</t>
  </si>
  <si>
    <t>BELLAVISTA DE LA UNIÓN</t>
  </si>
  <si>
    <t>BERNAL</t>
  </si>
  <si>
    <t>CRISTO NOS VALGA</t>
  </si>
  <si>
    <t>RINCONADA LLICUAR</t>
  </si>
  <si>
    <t>VICE</t>
  </si>
  <si>
    <t>BELLAVISTA</t>
  </si>
  <si>
    <t>IGNACIO ESCUDERO</t>
  </si>
  <si>
    <t>LANCONES</t>
  </si>
  <si>
    <t>MARCAVELICA</t>
  </si>
  <si>
    <t>MIGUEL CHECA</t>
  </si>
  <si>
    <t>QUERECOTILLO</t>
  </si>
  <si>
    <t>EL ALTO</t>
  </si>
  <si>
    <t>LA BREA</t>
  </si>
  <si>
    <t>LOBITOS</t>
  </si>
  <si>
    <t>LOS ÓRGANOS</t>
  </si>
  <si>
    <t>MÁNCORA</t>
  </si>
  <si>
    <t>PARIÑAS</t>
  </si>
  <si>
    <t>CONTAMINACIÓN</t>
  </si>
  <si>
    <t>DERRAME DE SUSTANCIAS PELIGROSAS</t>
  </si>
  <si>
    <t>VIENTO FUERTE</t>
  </si>
  <si>
    <t>FRIAS</t>
  </si>
  <si>
    <t>Fuente : SINPAD - COEN - INDECI</t>
  </si>
  <si>
    <t>TABLA 2 : CONSOLIDADO DE EMERGENCIAS POR PELIGRO, OCURRIDAS EN EL DEPARTAMENTO DE PIURA, SEGÚN PROVINCIA Y DISTRITO: PERIODO 2003-2024</t>
  </si>
  <si>
    <t>TABLA 1: EMERGENCIAS OCURRIDAS SEGÚN PELIGRO, EN EL DEPARTAMENTO DE PIURA POR PROVINCIAS, PERIODO: 2003 - 2024</t>
  </si>
  <si>
    <t>CONTAMINACION</t>
  </si>
  <si>
    <t>EROSION</t>
  </si>
  <si>
    <t>EXPLOSION</t>
  </si>
  <si>
    <t>INUNDACION</t>
  </si>
  <si>
    <t>SEQUIA</t>
  </si>
  <si>
    <t>TORMENTA ELECTRICA</t>
  </si>
  <si>
    <t>VIENTOS FUERTES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</si>
</sst>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textRotation="90"/>
    </xf>
    <xf numFmtId="0" fontId="3" fillId="0" borderId="0" xfId="0" applyFont="1"/>
    <xf numFmtId="0" fontId="1" fillId="3" borderId="2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0" xfId="0" applyFont="1" applyAlignment="1">
      <alignment horizontal="left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indent="1"/>
    </xf>
    <xf numFmtId="0" fontId="2" fillId="2" borderId="6" xfId="0" applyFont="1" applyFill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1559314</xdr:colOff>
      <xdr:row>2</xdr:row>
      <xdr:rowOff>24262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59314" cy="331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V115"/>
  <sheetViews>
    <sheetView tabSelected="1" topLeftCell="A16" zoomScale="106" zoomScaleNormal="106" workbookViewId="0">
      <selection activeCell="N37" sqref="N37"/>
    </sheetView>
  </sheetViews>
  <sheetFormatPr baseColWidth="10" defaultRowHeight="12" x14ac:dyDescent="0.2"/>
  <cols>
    <col min="1" max="1" width="29" style="8" customWidth="1"/>
    <col min="2" max="2" width="11.7109375" style="8" customWidth="1"/>
    <col min="3" max="3" width="9.85546875" style="8" customWidth="1"/>
    <col min="4" max="4" width="13.140625" style="8" customWidth="1"/>
    <col min="5" max="5" width="10" style="8" customWidth="1"/>
    <col min="6" max="6" width="8.5703125" style="8" customWidth="1"/>
    <col min="7" max="7" width="6.140625" style="8" customWidth="1"/>
    <col min="8" max="8" width="9" style="8" customWidth="1"/>
    <col min="9" max="9" width="9.42578125" style="8" customWidth="1"/>
    <col min="10" max="10" width="8.7109375" style="8" bestFit="1" customWidth="1"/>
    <col min="11" max="11" width="8.42578125" style="8" customWidth="1"/>
    <col min="12" max="12" width="6.140625" style="8" customWidth="1"/>
    <col min="13" max="13" width="5.42578125" style="8" bestFit="1" customWidth="1"/>
    <col min="14" max="14" width="4.28515625" style="8" customWidth="1"/>
    <col min="15" max="15" width="6.7109375" style="8" customWidth="1"/>
    <col min="16" max="16" width="6.5703125" style="8" customWidth="1"/>
    <col min="17" max="17" width="6.140625" style="8" customWidth="1"/>
    <col min="18" max="18" width="7" style="8" customWidth="1"/>
    <col min="19" max="19" width="5.42578125" style="8" customWidth="1"/>
    <col min="20" max="20" width="8" style="8" customWidth="1"/>
    <col min="21" max="21" width="7.5703125" style="8" customWidth="1"/>
    <col min="22" max="22" width="6.5703125" style="8" customWidth="1"/>
    <col min="23" max="16384" width="11.42578125" style="8"/>
  </cols>
  <sheetData>
    <row r="4" spans="1:10" ht="33" customHeight="1" x14ac:dyDescent="0.2">
      <c r="A4" s="20" t="s">
        <v>94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x14ac:dyDescent="0.2">
      <c r="A5" s="1"/>
    </row>
    <row r="6" spans="1:10" ht="33.75" customHeight="1" x14ac:dyDescent="0.2">
      <c r="A6" s="21" t="s">
        <v>0</v>
      </c>
      <c r="B6" s="21" t="s">
        <v>1</v>
      </c>
      <c r="C6" s="22" t="s">
        <v>2</v>
      </c>
      <c r="D6" s="23"/>
      <c r="E6" s="23"/>
      <c r="F6" s="23"/>
      <c r="G6" s="23"/>
      <c r="H6" s="23"/>
      <c r="I6" s="23"/>
      <c r="J6" s="24"/>
    </row>
    <row r="7" spans="1:10" ht="24" customHeight="1" x14ac:dyDescent="0.2">
      <c r="A7" s="21"/>
      <c r="B7" s="21"/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</row>
    <row r="8" spans="1:10" ht="20.25" customHeight="1" x14ac:dyDescent="0.2">
      <c r="A8" s="9" t="s">
        <v>11</v>
      </c>
      <c r="B8" s="10">
        <f>SUM(B9:B28)</f>
        <v>5412</v>
      </c>
      <c r="C8" s="10">
        <f>SUM(C9:C28)</f>
        <v>765</v>
      </c>
      <c r="D8" s="10">
        <f t="shared" ref="D8:J8" si="0">SUM(D9:D28)</f>
        <v>727</v>
      </c>
      <c r="E8" s="10">
        <f t="shared" si="0"/>
        <v>623</v>
      </c>
      <c r="F8" s="10">
        <f t="shared" si="0"/>
        <v>377</v>
      </c>
      <c r="G8" s="10">
        <f t="shared" si="0"/>
        <v>1785</v>
      </c>
      <c r="H8" s="10">
        <f t="shared" si="0"/>
        <v>313</v>
      </c>
      <c r="I8" s="10">
        <f t="shared" si="0"/>
        <v>578</v>
      </c>
      <c r="J8" s="10">
        <f t="shared" si="0"/>
        <v>244</v>
      </c>
    </row>
    <row r="9" spans="1:10" x14ac:dyDescent="0.2">
      <c r="A9" s="11" t="s">
        <v>12</v>
      </c>
      <c r="B9" s="3">
        <v>81</v>
      </c>
      <c r="C9" s="3">
        <v>41</v>
      </c>
      <c r="D9" s="3">
        <v>25</v>
      </c>
      <c r="E9" s="3">
        <v>13</v>
      </c>
      <c r="F9" s="3">
        <v>0</v>
      </c>
      <c r="G9" s="3">
        <v>2</v>
      </c>
      <c r="H9" s="3">
        <v>0</v>
      </c>
      <c r="I9" s="3">
        <v>0</v>
      </c>
      <c r="J9" s="3">
        <v>0</v>
      </c>
    </row>
    <row r="10" spans="1:10" x14ac:dyDescent="0.2">
      <c r="A10" s="11" t="s">
        <v>95</v>
      </c>
      <c r="B10" s="3">
        <v>6</v>
      </c>
      <c r="C10" s="3">
        <v>0</v>
      </c>
      <c r="D10" s="3">
        <v>0</v>
      </c>
      <c r="E10" s="3">
        <v>0</v>
      </c>
      <c r="F10" s="3">
        <v>1</v>
      </c>
      <c r="G10" s="3">
        <v>4</v>
      </c>
      <c r="H10" s="3">
        <v>1</v>
      </c>
      <c r="I10" s="3">
        <v>0</v>
      </c>
      <c r="J10" s="3">
        <v>0</v>
      </c>
    </row>
    <row r="11" spans="1:10" x14ac:dyDescent="0.2">
      <c r="A11" s="11" t="s">
        <v>89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>
        <v>0</v>
      </c>
      <c r="J11" s="3">
        <v>0</v>
      </c>
    </row>
    <row r="12" spans="1:10" x14ac:dyDescent="0.2">
      <c r="A12" s="11" t="s">
        <v>13</v>
      </c>
      <c r="B12" s="3">
        <v>11</v>
      </c>
      <c r="C12" s="3">
        <v>6</v>
      </c>
      <c r="D12" s="3">
        <v>4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</row>
    <row r="13" spans="1:10" x14ac:dyDescent="0.2">
      <c r="A13" s="11" t="s">
        <v>14</v>
      </c>
      <c r="B13" s="3">
        <v>81</v>
      </c>
      <c r="C13" s="3">
        <v>53</v>
      </c>
      <c r="D13" s="3">
        <v>14</v>
      </c>
      <c r="E13" s="3">
        <v>5</v>
      </c>
      <c r="F13" s="3">
        <v>3</v>
      </c>
      <c r="G13" s="3">
        <v>3</v>
      </c>
      <c r="H13" s="3">
        <v>2</v>
      </c>
      <c r="I13" s="3">
        <v>0</v>
      </c>
      <c r="J13" s="3">
        <v>1</v>
      </c>
    </row>
    <row r="14" spans="1:10" x14ac:dyDescent="0.2">
      <c r="A14" s="11" t="s">
        <v>15</v>
      </c>
      <c r="B14" s="3">
        <v>19</v>
      </c>
      <c r="C14" s="3">
        <v>0</v>
      </c>
      <c r="D14" s="3">
        <v>2</v>
      </c>
      <c r="E14" s="3">
        <v>0</v>
      </c>
      <c r="F14" s="3">
        <v>0</v>
      </c>
      <c r="G14" s="3">
        <v>8</v>
      </c>
      <c r="H14" s="3">
        <v>5</v>
      </c>
      <c r="I14" s="3">
        <v>3</v>
      </c>
      <c r="J14" s="3">
        <v>1</v>
      </c>
    </row>
    <row r="15" spans="1:10" x14ac:dyDescent="0.2">
      <c r="A15" s="11" t="s">
        <v>96</v>
      </c>
      <c r="B15" s="3">
        <v>78</v>
      </c>
      <c r="C15" s="3">
        <v>1</v>
      </c>
      <c r="D15" s="3">
        <v>9</v>
      </c>
      <c r="E15" s="3">
        <v>22</v>
      </c>
      <c r="F15" s="3">
        <v>1</v>
      </c>
      <c r="G15" s="3">
        <v>36</v>
      </c>
      <c r="H15" s="3">
        <v>1</v>
      </c>
      <c r="I15" s="3">
        <v>3</v>
      </c>
      <c r="J15" s="3">
        <v>5</v>
      </c>
    </row>
    <row r="16" spans="1:10" x14ac:dyDescent="0.2">
      <c r="A16" s="11" t="s">
        <v>97</v>
      </c>
      <c r="B16" s="3">
        <v>3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1</v>
      </c>
    </row>
    <row r="17" spans="1:10" x14ac:dyDescent="0.2">
      <c r="A17" s="11" t="s">
        <v>18</v>
      </c>
      <c r="B17" s="3">
        <v>12</v>
      </c>
      <c r="C17" s="3">
        <v>2</v>
      </c>
      <c r="D17" s="3">
        <v>9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</row>
    <row r="18" spans="1:10" x14ac:dyDescent="0.2">
      <c r="A18" s="11" t="s">
        <v>19</v>
      </c>
      <c r="B18" s="3">
        <v>77</v>
      </c>
      <c r="C18" s="3">
        <v>26</v>
      </c>
      <c r="D18" s="3">
        <v>19</v>
      </c>
      <c r="E18" s="3">
        <v>16</v>
      </c>
      <c r="F18" s="3">
        <v>0</v>
      </c>
      <c r="G18" s="3">
        <v>5</v>
      </c>
      <c r="H18" s="3">
        <v>6</v>
      </c>
      <c r="I18" s="3">
        <v>5</v>
      </c>
      <c r="J18" s="3">
        <v>0</v>
      </c>
    </row>
    <row r="19" spans="1:10" x14ac:dyDescent="0.2">
      <c r="A19" s="11" t="s">
        <v>20</v>
      </c>
      <c r="B19" s="3">
        <v>1983</v>
      </c>
      <c r="C19" s="3">
        <v>55</v>
      </c>
      <c r="D19" s="3">
        <v>90</v>
      </c>
      <c r="E19" s="3">
        <v>102</v>
      </c>
      <c r="F19" s="3">
        <v>204</v>
      </c>
      <c r="G19" s="3">
        <v>931</v>
      </c>
      <c r="H19" s="3">
        <v>163</v>
      </c>
      <c r="I19" s="3">
        <v>303</v>
      </c>
      <c r="J19" s="3">
        <v>135</v>
      </c>
    </row>
    <row r="20" spans="1:10" x14ac:dyDescent="0.2">
      <c r="A20" s="11" t="s">
        <v>98</v>
      </c>
      <c r="B20" s="3">
        <v>124</v>
      </c>
      <c r="C20" s="3">
        <v>14</v>
      </c>
      <c r="D20" s="3">
        <v>19</v>
      </c>
      <c r="E20" s="3">
        <v>21</v>
      </c>
      <c r="F20" s="3">
        <v>15</v>
      </c>
      <c r="G20" s="3">
        <v>39</v>
      </c>
      <c r="H20" s="3">
        <v>6</v>
      </c>
      <c r="I20" s="3">
        <v>8</v>
      </c>
      <c r="J20" s="3">
        <v>2</v>
      </c>
    </row>
    <row r="21" spans="1:10" x14ac:dyDescent="0.2">
      <c r="A21" s="11" t="s">
        <v>22</v>
      </c>
      <c r="B21" s="3">
        <v>1775</v>
      </c>
      <c r="C21" s="3">
        <v>398</v>
      </c>
      <c r="D21" s="3">
        <v>384</v>
      </c>
      <c r="E21" s="3">
        <v>314</v>
      </c>
      <c r="F21" s="3">
        <v>97</v>
      </c>
      <c r="G21" s="3">
        <v>292</v>
      </c>
      <c r="H21" s="3">
        <v>64</v>
      </c>
      <c r="I21" s="3">
        <v>162</v>
      </c>
      <c r="J21" s="3">
        <v>64</v>
      </c>
    </row>
    <row r="22" spans="1:10" x14ac:dyDescent="0.2">
      <c r="A22" s="11" t="s">
        <v>23</v>
      </c>
      <c r="B22" s="3">
        <v>18</v>
      </c>
      <c r="C22" s="3">
        <v>0</v>
      </c>
      <c r="D22" s="3">
        <v>0</v>
      </c>
      <c r="E22" s="3">
        <v>0</v>
      </c>
      <c r="F22" s="3">
        <v>2</v>
      </c>
      <c r="G22" s="3">
        <v>0</v>
      </c>
      <c r="H22" s="3">
        <v>4</v>
      </c>
      <c r="I22" s="3">
        <v>0</v>
      </c>
      <c r="J22" s="3">
        <v>12</v>
      </c>
    </row>
    <row r="23" spans="1:10" x14ac:dyDescent="0.2">
      <c r="A23" s="11" t="s">
        <v>24</v>
      </c>
      <c r="B23" s="3">
        <v>26</v>
      </c>
      <c r="C23" s="3">
        <v>8</v>
      </c>
      <c r="D23" s="3">
        <v>6</v>
      </c>
      <c r="E23" s="3">
        <v>4</v>
      </c>
      <c r="F23" s="3">
        <v>0</v>
      </c>
      <c r="G23" s="3">
        <v>0</v>
      </c>
      <c r="H23" s="3">
        <v>8</v>
      </c>
      <c r="I23" s="3">
        <v>0</v>
      </c>
      <c r="J23" s="3">
        <v>0</v>
      </c>
    </row>
    <row r="24" spans="1:10" x14ac:dyDescent="0.2">
      <c r="A24" s="11" t="s">
        <v>99</v>
      </c>
      <c r="B24" s="3">
        <v>104</v>
      </c>
      <c r="C24" s="3">
        <v>15</v>
      </c>
      <c r="D24" s="3">
        <v>21</v>
      </c>
      <c r="E24" s="3">
        <v>31</v>
      </c>
      <c r="F24" s="3">
        <v>1</v>
      </c>
      <c r="G24" s="3">
        <v>21</v>
      </c>
      <c r="H24" s="3">
        <v>6</v>
      </c>
      <c r="I24" s="3">
        <v>8</v>
      </c>
      <c r="J24" s="3">
        <v>1</v>
      </c>
    </row>
    <row r="25" spans="1:10" x14ac:dyDescent="0.2">
      <c r="A25" s="11" t="s">
        <v>26</v>
      </c>
      <c r="B25" s="3">
        <v>83</v>
      </c>
      <c r="C25" s="3">
        <v>15</v>
      </c>
      <c r="D25" s="3">
        <v>6</v>
      </c>
      <c r="E25" s="3">
        <v>9</v>
      </c>
      <c r="F25" s="3">
        <v>10</v>
      </c>
      <c r="G25" s="3">
        <v>14</v>
      </c>
      <c r="H25" s="3">
        <v>10</v>
      </c>
      <c r="I25" s="3">
        <v>13</v>
      </c>
      <c r="J25" s="3">
        <v>6</v>
      </c>
    </row>
    <row r="26" spans="1:10" x14ac:dyDescent="0.2">
      <c r="A26" s="11" t="s">
        <v>100</v>
      </c>
      <c r="B26" s="3">
        <v>4</v>
      </c>
      <c r="C26" s="3">
        <v>0</v>
      </c>
      <c r="D26" s="3">
        <v>0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1</v>
      </c>
    </row>
    <row r="27" spans="1:10" x14ac:dyDescent="0.2">
      <c r="A27" s="11" t="s">
        <v>101</v>
      </c>
      <c r="B27" s="3">
        <v>911</v>
      </c>
      <c r="C27" s="3">
        <v>131</v>
      </c>
      <c r="D27" s="3">
        <v>118</v>
      </c>
      <c r="E27" s="3">
        <v>84</v>
      </c>
      <c r="F27" s="3">
        <v>41</v>
      </c>
      <c r="G27" s="3">
        <v>421</v>
      </c>
      <c r="H27" s="3">
        <v>33</v>
      </c>
      <c r="I27" s="3">
        <v>69</v>
      </c>
      <c r="J27" s="3">
        <v>14</v>
      </c>
    </row>
    <row r="28" spans="1:10" x14ac:dyDescent="0.2">
      <c r="A28" s="11" t="s">
        <v>28</v>
      </c>
      <c r="B28" s="3">
        <v>15</v>
      </c>
      <c r="C28" s="3">
        <v>0</v>
      </c>
      <c r="D28" s="3">
        <v>0</v>
      </c>
      <c r="E28" s="3">
        <v>0</v>
      </c>
      <c r="F28" s="3">
        <v>2</v>
      </c>
      <c r="G28" s="3">
        <v>7</v>
      </c>
      <c r="H28" s="3">
        <v>2</v>
      </c>
      <c r="I28" s="3">
        <v>3</v>
      </c>
      <c r="J28" s="3">
        <v>1</v>
      </c>
    </row>
    <row r="29" spans="1:10" x14ac:dyDescent="0.2">
      <c r="A29" s="18" t="s">
        <v>92</v>
      </c>
      <c r="B29" s="18"/>
      <c r="C29" s="18"/>
      <c r="D29" s="18"/>
      <c r="E29" s="18"/>
    </row>
    <row r="30" spans="1:10" x14ac:dyDescent="0.2">
      <c r="A30" s="19" t="s">
        <v>29</v>
      </c>
      <c r="B30" s="19"/>
      <c r="C30" s="19"/>
      <c r="D30" s="19"/>
      <c r="E30" s="19"/>
    </row>
    <row r="31" spans="1:10" x14ac:dyDescent="0.2">
      <c r="A31" s="4"/>
      <c r="B31" s="4"/>
      <c r="C31" s="4"/>
      <c r="D31" s="4"/>
      <c r="E31" s="4"/>
    </row>
    <row r="32" spans="1:10" x14ac:dyDescent="0.2">
      <c r="A32" s="12"/>
      <c r="B32" s="12"/>
      <c r="C32" s="12"/>
      <c r="D32" s="12"/>
      <c r="E32" s="12"/>
    </row>
    <row r="33" spans="1:22" x14ac:dyDescent="0.2">
      <c r="A33" s="12"/>
      <c r="B33" s="12"/>
      <c r="C33" s="12"/>
      <c r="D33" s="12"/>
      <c r="E33" s="12"/>
    </row>
    <row r="34" spans="1:22" x14ac:dyDescent="0.2">
      <c r="A34" s="12"/>
      <c r="B34" s="12"/>
      <c r="C34" s="12"/>
      <c r="D34" s="12"/>
      <c r="E34" s="12"/>
    </row>
    <row r="35" spans="1:22" x14ac:dyDescent="0.2">
      <c r="A35" s="12"/>
      <c r="B35" s="12"/>
      <c r="C35" s="12"/>
      <c r="D35" s="12"/>
      <c r="E35" s="12"/>
    </row>
    <row r="36" spans="1:22" x14ac:dyDescent="0.2">
      <c r="A36" s="5"/>
    </row>
    <row r="37" spans="1:22" x14ac:dyDescent="0.2">
      <c r="A37" s="1" t="s">
        <v>93</v>
      </c>
    </row>
    <row r="38" spans="1:22" ht="41.25" customHeight="1" x14ac:dyDescent="0.2"/>
    <row r="39" spans="1:22" ht="110.25" customHeight="1" x14ac:dyDescent="0.2">
      <c r="A39" s="6" t="s">
        <v>30</v>
      </c>
      <c r="B39" s="7" t="s">
        <v>31</v>
      </c>
      <c r="C39" s="7" t="s">
        <v>12</v>
      </c>
      <c r="D39" s="7" t="s">
        <v>88</v>
      </c>
      <c r="E39" s="17" t="s">
        <v>89</v>
      </c>
      <c r="F39" s="7" t="s">
        <v>13</v>
      </c>
      <c r="G39" s="7" t="s">
        <v>14</v>
      </c>
      <c r="H39" s="7" t="s">
        <v>15</v>
      </c>
      <c r="I39" s="7" t="s">
        <v>16</v>
      </c>
      <c r="J39" s="7" t="s">
        <v>17</v>
      </c>
      <c r="K39" s="7" t="s">
        <v>18</v>
      </c>
      <c r="L39" s="7" t="s">
        <v>19</v>
      </c>
      <c r="M39" s="7" t="s">
        <v>20</v>
      </c>
      <c r="N39" s="7" t="s">
        <v>21</v>
      </c>
      <c r="O39" s="7" t="s">
        <v>22</v>
      </c>
      <c r="P39" s="7" t="s">
        <v>23</v>
      </c>
      <c r="Q39" s="7" t="s">
        <v>24</v>
      </c>
      <c r="R39" s="7" t="s">
        <v>25</v>
      </c>
      <c r="S39" s="7" t="s">
        <v>26</v>
      </c>
      <c r="T39" s="7" t="s">
        <v>27</v>
      </c>
      <c r="U39" s="7" t="s">
        <v>90</v>
      </c>
      <c r="V39" s="7" t="s">
        <v>28</v>
      </c>
    </row>
    <row r="40" spans="1:22" ht="20.25" customHeight="1" x14ac:dyDescent="0.2">
      <c r="A40" s="9" t="s">
        <v>11</v>
      </c>
      <c r="B40" s="13">
        <f>+B41+B52+B61+B72+B80+B91+B98+B107</f>
        <v>5412</v>
      </c>
      <c r="C40" s="13">
        <f t="shared" ref="C40:S40" si="1">+C41+C52+C61+C72+C80+C91+C98+C107</f>
        <v>81</v>
      </c>
      <c r="D40" s="13">
        <f t="shared" si="1"/>
        <v>6</v>
      </c>
      <c r="E40" s="13">
        <f t="shared" si="1"/>
        <v>1</v>
      </c>
      <c r="F40" s="13">
        <f t="shared" si="1"/>
        <v>11</v>
      </c>
      <c r="G40" s="13">
        <f t="shared" si="1"/>
        <v>81</v>
      </c>
      <c r="H40" s="13">
        <f t="shared" si="1"/>
        <v>19</v>
      </c>
      <c r="I40" s="13">
        <f t="shared" si="1"/>
        <v>78</v>
      </c>
      <c r="J40" s="13">
        <f t="shared" si="1"/>
        <v>3</v>
      </c>
      <c r="K40" s="13">
        <f t="shared" si="1"/>
        <v>12</v>
      </c>
      <c r="L40" s="13">
        <f t="shared" si="1"/>
        <v>77</v>
      </c>
      <c r="M40" s="13">
        <f t="shared" si="1"/>
        <v>1983</v>
      </c>
      <c r="N40" s="13">
        <f t="shared" si="1"/>
        <v>124</v>
      </c>
      <c r="O40" s="13">
        <f t="shared" si="1"/>
        <v>1775</v>
      </c>
      <c r="P40" s="13">
        <f t="shared" si="1"/>
        <v>18</v>
      </c>
      <c r="Q40" s="13">
        <f t="shared" si="1"/>
        <v>26</v>
      </c>
      <c r="R40" s="13">
        <f t="shared" si="1"/>
        <v>104</v>
      </c>
      <c r="S40" s="13">
        <f t="shared" si="1"/>
        <v>83</v>
      </c>
      <c r="T40" s="13">
        <f>+T41+T52+T61+T72+T80+T91+T98+T107</f>
        <v>4</v>
      </c>
      <c r="U40" s="13">
        <f t="shared" ref="U40:V40" si="2">+U41+U52+U61+U72+U80+U91+U98+U107</f>
        <v>911</v>
      </c>
      <c r="V40" s="13">
        <f t="shared" si="2"/>
        <v>15</v>
      </c>
    </row>
    <row r="41" spans="1:22" x14ac:dyDescent="0.2">
      <c r="A41" s="14" t="s">
        <v>3</v>
      </c>
      <c r="B41" s="15">
        <v>765</v>
      </c>
      <c r="C41" s="15">
        <v>41</v>
      </c>
      <c r="D41" s="15">
        <v>0</v>
      </c>
      <c r="E41" s="15">
        <v>0</v>
      </c>
      <c r="F41" s="15">
        <v>6</v>
      </c>
      <c r="G41" s="15">
        <v>53</v>
      </c>
      <c r="H41" s="15">
        <v>0</v>
      </c>
      <c r="I41" s="15">
        <v>1</v>
      </c>
      <c r="J41" s="15">
        <v>0</v>
      </c>
      <c r="K41" s="15">
        <v>2</v>
      </c>
      <c r="L41" s="15">
        <v>26</v>
      </c>
      <c r="M41" s="15">
        <v>55</v>
      </c>
      <c r="N41" s="15">
        <v>14</v>
      </c>
      <c r="O41" s="15">
        <v>398</v>
      </c>
      <c r="P41" s="15">
        <v>0</v>
      </c>
      <c r="Q41" s="15">
        <v>8</v>
      </c>
      <c r="R41" s="15">
        <v>15</v>
      </c>
      <c r="S41" s="15">
        <v>15</v>
      </c>
      <c r="T41" s="15">
        <v>0</v>
      </c>
      <c r="U41" s="15">
        <v>131</v>
      </c>
      <c r="V41" s="15">
        <v>0</v>
      </c>
    </row>
    <row r="42" spans="1:22" x14ac:dyDescent="0.2">
      <c r="A42" s="16" t="s">
        <v>3</v>
      </c>
      <c r="B42" s="3">
        <v>220</v>
      </c>
      <c r="C42" s="3">
        <v>11</v>
      </c>
      <c r="D42" s="3">
        <v>0</v>
      </c>
      <c r="E42" s="3">
        <v>0</v>
      </c>
      <c r="F42" s="3">
        <v>0</v>
      </c>
      <c r="G42" s="3">
        <v>43</v>
      </c>
      <c r="H42" s="3">
        <v>0</v>
      </c>
      <c r="I42" s="3">
        <v>0</v>
      </c>
      <c r="J42" s="3">
        <v>0</v>
      </c>
      <c r="K42" s="3">
        <v>1</v>
      </c>
      <c r="L42" s="3">
        <v>4</v>
      </c>
      <c r="M42" s="3">
        <v>36</v>
      </c>
      <c r="N42" s="3">
        <v>1</v>
      </c>
      <c r="O42" s="3">
        <v>60</v>
      </c>
      <c r="P42" s="3">
        <v>0</v>
      </c>
      <c r="Q42" s="3">
        <v>1</v>
      </c>
      <c r="R42" s="3">
        <v>4</v>
      </c>
      <c r="S42" s="3">
        <v>1</v>
      </c>
      <c r="T42" s="3">
        <v>0</v>
      </c>
      <c r="U42" s="3">
        <v>58</v>
      </c>
      <c r="V42" s="3">
        <v>0</v>
      </c>
    </row>
    <row r="43" spans="1:22" x14ac:dyDescent="0.2">
      <c r="A43" s="16" t="s">
        <v>91</v>
      </c>
      <c r="B43" s="3">
        <v>70</v>
      </c>
      <c r="C43" s="3">
        <v>6</v>
      </c>
      <c r="D43" s="3">
        <v>0</v>
      </c>
      <c r="E43" s="3">
        <v>0</v>
      </c>
      <c r="F43" s="3">
        <v>0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  <c r="M43" s="3">
        <v>1</v>
      </c>
      <c r="N43" s="3">
        <v>1</v>
      </c>
      <c r="O43" s="3">
        <v>44</v>
      </c>
      <c r="P43" s="3">
        <v>0</v>
      </c>
      <c r="Q43" s="3">
        <v>1</v>
      </c>
      <c r="R43" s="3">
        <v>1</v>
      </c>
      <c r="S43" s="3">
        <v>1</v>
      </c>
      <c r="T43" s="3">
        <v>0</v>
      </c>
      <c r="U43" s="3">
        <v>13</v>
      </c>
      <c r="V43" s="3">
        <v>0</v>
      </c>
    </row>
    <row r="44" spans="1:22" x14ac:dyDescent="0.2">
      <c r="A44" s="16" t="s">
        <v>32</v>
      </c>
      <c r="B44" s="3">
        <v>40</v>
      </c>
      <c r="C44" s="3">
        <v>4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</v>
      </c>
      <c r="O44" s="3">
        <v>30</v>
      </c>
      <c r="P44" s="3">
        <v>0</v>
      </c>
      <c r="Q44" s="3">
        <v>1</v>
      </c>
      <c r="R44" s="3">
        <v>1</v>
      </c>
      <c r="S44" s="3">
        <v>0</v>
      </c>
      <c r="T44" s="3">
        <v>0</v>
      </c>
      <c r="U44" s="3">
        <v>3</v>
      </c>
      <c r="V44" s="3">
        <v>0</v>
      </c>
    </row>
    <row r="45" spans="1:22" x14ac:dyDescent="0.2">
      <c r="A45" s="16" t="s">
        <v>33</v>
      </c>
      <c r="B45" s="3">
        <v>63</v>
      </c>
      <c r="C45" s="3">
        <v>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</v>
      </c>
      <c r="M45" s="3">
        <v>0</v>
      </c>
      <c r="N45" s="3">
        <v>2</v>
      </c>
      <c r="O45" s="3">
        <v>43</v>
      </c>
      <c r="P45" s="3">
        <v>0</v>
      </c>
      <c r="Q45" s="3">
        <v>0</v>
      </c>
      <c r="R45" s="3">
        <v>0</v>
      </c>
      <c r="S45" s="3">
        <v>2</v>
      </c>
      <c r="T45" s="3">
        <v>0</v>
      </c>
      <c r="U45" s="3">
        <v>10</v>
      </c>
      <c r="V45" s="3">
        <v>0</v>
      </c>
    </row>
    <row r="46" spans="1:22" x14ac:dyDescent="0.2">
      <c r="A46" s="16" t="s">
        <v>34</v>
      </c>
      <c r="B46" s="3">
        <v>46</v>
      </c>
      <c r="C46" s="3">
        <v>2</v>
      </c>
      <c r="D46" s="3">
        <v>0</v>
      </c>
      <c r="E46" s="3">
        <v>0</v>
      </c>
      <c r="F46" s="3">
        <v>2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3</v>
      </c>
      <c r="N46" s="3">
        <v>2</v>
      </c>
      <c r="O46" s="3">
        <v>30</v>
      </c>
      <c r="P46" s="3">
        <v>0</v>
      </c>
      <c r="Q46" s="3">
        <v>1</v>
      </c>
      <c r="R46" s="3">
        <v>2</v>
      </c>
      <c r="S46" s="3">
        <v>1</v>
      </c>
      <c r="T46" s="3">
        <v>0</v>
      </c>
      <c r="U46" s="3">
        <v>3</v>
      </c>
      <c r="V46" s="3">
        <v>0</v>
      </c>
    </row>
    <row r="47" spans="1:22" x14ac:dyDescent="0.2">
      <c r="A47" s="16" t="s">
        <v>35</v>
      </c>
      <c r="B47" s="3">
        <v>129</v>
      </c>
      <c r="C47" s="3">
        <v>3</v>
      </c>
      <c r="D47" s="3">
        <v>0</v>
      </c>
      <c r="E47" s="3">
        <v>0</v>
      </c>
      <c r="F47" s="3">
        <v>1</v>
      </c>
      <c r="G47" s="3">
        <v>8</v>
      </c>
      <c r="H47" s="3">
        <v>0</v>
      </c>
      <c r="I47" s="3">
        <v>1</v>
      </c>
      <c r="J47" s="3">
        <v>0</v>
      </c>
      <c r="K47" s="3">
        <v>0</v>
      </c>
      <c r="L47" s="3">
        <v>16</v>
      </c>
      <c r="M47" s="3">
        <v>5</v>
      </c>
      <c r="N47" s="3">
        <v>1</v>
      </c>
      <c r="O47" s="3">
        <v>68</v>
      </c>
      <c r="P47" s="3">
        <v>0</v>
      </c>
      <c r="Q47" s="3">
        <v>1</v>
      </c>
      <c r="R47" s="3">
        <v>1</v>
      </c>
      <c r="S47" s="3">
        <v>3</v>
      </c>
      <c r="T47" s="3">
        <v>0</v>
      </c>
      <c r="U47" s="3">
        <v>21</v>
      </c>
      <c r="V47" s="3">
        <v>0</v>
      </c>
    </row>
    <row r="48" spans="1:22" x14ac:dyDescent="0.2">
      <c r="A48" s="16" t="s">
        <v>36</v>
      </c>
      <c r="B48" s="3">
        <v>46</v>
      </c>
      <c r="C48" s="3">
        <v>2</v>
      </c>
      <c r="D48" s="3">
        <v>0</v>
      </c>
      <c r="E48" s="3">
        <v>0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4</v>
      </c>
      <c r="N48" s="3">
        <v>2</v>
      </c>
      <c r="O48" s="3">
        <v>28</v>
      </c>
      <c r="P48" s="3">
        <v>0</v>
      </c>
      <c r="Q48" s="3">
        <v>0</v>
      </c>
      <c r="R48" s="3">
        <v>2</v>
      </c>
      <c r="S48" s="3">
        <v>2</v>
      </c>
      <c r="T48" s="3">
        <v>0</v>
      </c>
      <c r="U48" s="3">
        <v>4</v>
      </c>
      <c r="V48" s="3">
        <v>0</v>
      </c>
    </row>
    <row r="49" spans="1:22" x14ac:dyDescent="0.2">
      <c r="A49" s="16" t="s">
        <v>37</v>
      </c>
      <c r="B49" s="3">
        <v>47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</v>
      </c>
      <c r="L49" s="3">
        <v>0</v>
      </c>
      <c r="M49" s="3">
        <v>2</v>
      </c>
      <c r="N49" s="3">
        <v>2</v>
      </c>
      <c r="O49" s="3">
        <v>29</v>
      </c>
      <c r="P49" s="3">
        <v>0</v>
      </c>
      <c r="Q49" s="3">
        <v>1</v>
      </c>
      <c r="R49" s="3">
        <v>1</v>
      </c>
      <c r="S49" s="3">
        <v>2</v>
      </c>
      <c r="T49" s="3">
        <v>0</v>
      </c>
      <c r="U49" s="3">
        <v>7</v>
      </c>
      <c r="V49" s="3">
        <v>0</v>
      </c>
    </row>
    <row r="50" spans="1:22" x14ac:dyDescent="0.2">
      <c r="A50" s="16" t="s">
        <v>38</v>
      </c>
      <c r="B50" s="3">
        <v>57</v>
      </c>
      <c r="C50" s="3">
        <v>6</v>
      </c>
      <c r="D50" s="3">
        <v>0</v>
      </c>
      <c r="E50" s="3">
        <v>0</v>
      </c>
      <c r="F50" s="3">
        <v>3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1</v>
      </c>
      <c r="N50" s="3">
        <v>0</v>
      </c>
      <c r="O50" s="3">
        <v>37</v>
      </c>
      <c r="P50" s="3">
        <v>0</v>
      </c>
      <c r="Q50" s="3">
        <v>1</v>
      </c>
      <c r="R50" s="3">
        <v>2</v>
      </c>
      <c r="S50" s="3">
        <v>2</v>
      </c>
      <c r="T50" s="3">
        <v>0</v>
      </c>
      <c r="U50" s="3">
        <v>4</v>
      </c>
      <c r="V50" s="3">
        <v>0</v>
      </c>
    </row>
    <row r="51" spans="1:22" x14ac:dyDescent="0.2">
      <c r="A51" s="16" t="s">
        <v>39</v>
      </c>
      <c r="B51" s="3">
        <v>47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2</v>
      </c>
      <c r="M51" s="3">
        <v>3</v>
      </c>
      <c r="N51" s="3">
        <v>2</v>
      </c>
      <c r="O51" s="3">
        <v>29</v>
      </c>
      <c r="P51" s="3">
        <v>0</v>
      </c>
      <c r="Q51" s="3">
        <v>1</v>
      </c>
      <c r="R51" s="3">
        <v>1</v>
      </c>
      <c r="S51" s="3">
        <v>1</v>
      </c>
      <c r="T51" s="3">
        <v>0</v>
      </c>
      <c r="U51" s="3">
        <v>8</v>
      </c>
      <c r="V51" s="3">
        <v>0</v>
      </c>
    </row>
    <row r="52" spans="1:22" x14ac:dyDescent="0.2">
      <c r="A52" s="14" t="s">
        <v>4</v>
      </c>
      <c r="B52" s="15">
        <v>727</v>
      </c>
      <c r="C52" s="15">
        <v>25</v>
      </c>
      <c r="D52" s="15">
        <v>0</v>
      </c>
      <c r="E52" s="15">
        <v>0</v>
      </c>
      <c r="F52" s="15">
        <v>4</v>
      </c>
      <c r="G52" s="15">
        <v>14</v>
      </c>
      <c r="H52" s="15">
        <v>2</v>
      </c>
      <c r="I52" s="15">
        <v>9</v>
      </c>
      <c r="J52" s="15">
        <v>1</v>
      </c>
      <c r="K52" s="15">
        <v>9</v>
      </c>
      <c r="L52" s="15">
        <v>19</v>
      </c>
      <c r="M52" s="15">
        <v>90</v>
      </c>
      <c r="N52" s="15">
        <v>19</v>
      </c>
      <c r="O52" s="15">
        <v>384</v>
      </c>
      <c r="P52" s="15">
        <v>0</v>
      </c>
      <c r="Q52" s="15">
        <v>6</v>
      </c>
      <c r="R52" s="15">
        <v>21</v>
      </c>
      <c r="S52" s="15">
        <v>6</v>
      </c>
      <c r="T52" s="15">
        <v>0</v>
      </c>
      <c r="U52" s="15">
        <v>118</v>
      </c>
      <c r="V52" s="15">
        <v>0</v>
      </c>
    </row>
    <row r="53" spans="1:22" x14ac:dyDescent="0.2">
      <c r="A53" s="16" t="s">
        <v>40</v>
      </c>
      <c r="B53" s="3">
        <v>86</v>
      </c>
      <c r="C53" s="3">
        <v>0</v>
      </c>
      <c r="D53" s="3">
        <v>0</v>
      </c>
      <c r="E53" s="3">
        <v>0</v>
      </c>
      <c r="F53" s="3">
        <v>0</v>
      </c>
      <c r="G53" s="3">
        <v>5</v>
      </c>
      <c r="H53" s="3">
        <v>0</v>
      </c>
      <c r="I53" s="3">
        <v>3</v>
      </c>
      <c r="J53" s="3">
        <v>0</v>
      </c>
      <c r="K53" s="3">
        <v>2</v>
      </c>
      <c r="L53" s="3">
        <v>1</v>
      </c>
      <c r="M53" s="3">
        <v>9</v>
      </c>
      <c r="N53" s="3">
        <v>2</v>
      </c>
      <c r="O53" s="3">
        <v>48</v>
      </c>
      <c r="P53" s="3">
        <v>0</v>
      </c>
      <c r="Q53" s="3">
        <v>1</v>
      </c>
      <c r="R53" s="3">
        <v>3</v>
      </c>
      <c r="S53" s="3">
        <v>0</v>
      </c>
      <c r="T53" s="3">
        <v>0</v>
      </c>
      <c r="U53" s="3">
        <v>12</v>
      </c>
      <c r="V53" s="3">
        <v>0</v>
      </c>
    </row>
    <row r="54" spans="1:22" x14ac:dyDescent="0.2">
      <c r="A54" s="16" t="s">
        <v>41</v>
      </c>
      <c r="B54" s="3">
        <v>101</v>
      </c>
      <c r="C54" s="3">
        <v>5</v>
      </c>
      <c r="D54" s="3">
        <v>0</v>
      </c>
      <c r="E54" s="3">
        <v>0</v>
      </c>
      <c r="F54" s="3">
        <v>0</v>
      </c>
      <c r="G54" s="3">
        <v>2</v>
      </c>
      <c r="H54" s="3">
        <v>1</v>
      </c>
      <c r="I54" s="3">
        <v>0</v>
      </c>
      <c r="J54" s="3">
        <v>0</v>
      </c>
      <c r="K54" s="3">
        <v>2</v>
      </c>
      <c r="L54" s="3">
        <v>1</v>
      </c>
      <c r="M54" s="3">
        <v>6</v>
      </c>
      <c r="N54" s="3">
        <v>0</v>
      </c>
      <c r="O54" s="3">
        <v>63</v>
      </c>
      <c r="P54" s="3">
        <v>0</v>
      </c>
      <c r="Q54" s="3">
        <v>1</v>
      </c>
      <c r="R54" s="3">
        <v>4</v>
      </c>
      <c r="S54" s="3">
        <v>2</v>
      </c>
      <c r="T54" s="3">
        <v>0</v>
      </c>
      <c r="U54" s="3">
        <v>14</v>
      </c>
      <c r="V54" s="3">
        <v>0</v>
      </c>
    </row>
    <row r="55" spans="1:22" x14ac:dyDescent="0.2">
      <c r="A55" s="16" t="s">
        <v>4</v>
      </c>
      <c r="B55" s="3">
        <v>140</v>
      </c>
      <c r="C55" s="3">
        <v>3</v>
      </c>
      <c r="D55" s="3">
        <v>0</v>
      </c>
      <c r="E55" s="3">
        <v>0</v>
      </c>
      <c r="F55" s="3">
        <v>0</v>
      </c>
      <c r="G55" s="3">
        <v>4</v>
      </c>
      <c r="H55" s="3">
        <v>0</v>
      </c>
      <c r="I55" s="3">
        <v>0</v>
      </c>
      <c r="J55" s="3">
        <v>1</v>
      </c>
      <c r="K55" s="3">
        <v>0</v>
      </c>
      <c r="L55" s="3">
        <v>1</v>
      </c>
      <c r="M55" s="3">
        <v>26</v>
      </c>
      <c r="N55" s="3">
        <v>6</v>
      </c>
      <c r="O55" s="3">
        <v>80</v>
      </c>
      <c r="P55" s="3">
        <v>0</v>
      </c>
      <c r="Q55" s="3">
        <v>0</v>
      </c>
      <c r="R55" s="3">
        <v>2</v>
      </c>
      <c r="S55" s="3">
        <v>0</v>
      </c>
      <c r="T55" s="3">
        <v>0</v>
      </c>
      <c r="U55" s="3">
        <v>17</v>
      </c>
      <c r="V55" s="3">
        <v>0</v>
      </c>
    </row>
    <row r="56" spans="1:22" x14ac:dyDescent="0.2">
      <c r="A56" s="16" t="s">
        <v>42</v>
      </c>
      <c r="B56" s="3">
        <v>128</v>
      </c>
      <c r="C56" s="3">
        <v>7</v>
      </c>
      <c r="D56" s="3">
        <v>0</v>
      </c>
      <c r="E56" s="3">
        <v>0</v>
      </c>
      <c r="F56" s="3">
        <v>3</v>
      </c>
      <c r="G56" s="3">
        <v>1</v>
      </c>
      <c r="H56" s="3">
        <v>0</v>
      </c>
      <c r="I56" s="3">
        <v>1</v>
      </c>
      <c r="J56" s="3">
        <v>0</v>
      </c>
      <c r="K56" s="3">
        <v>1</v>
      </c>
      <c r="L56" s="3">
        <v>6</v>
      </c>
      <c r="M56" s="3">
        <v>19</v>
      </c>
      <c r="N56" s="3">
        <v>4</v>
      </c>
      <c r="O56" s="3">
        <v>60</v>
      </c>
      <c r="P56" s="3">
        <v>0</v>
      </c>
      <c r="Q56" s="3">
        <v>1</v>
      </c>
      <c r="R56" s="3">
        <v>1</v>
      </c>
      <c r="S56" s="3">
        <v>1</v>
      </c>
      <c r="T56" s="3">
        <v>0</v>
      </c>
      <c r="U56" s="3">
        <v>23</v>
      </c>
      <c r="V56" s="3">
        <v>0</v>
      </c>
    </row>
    <row r="57" spans="1:22" x14ac:dyDescent="0.2">
      <c r="A57" s="16" t="s">
        <v>43</v>
      </c>
      <c r="B57" s="3">
        <v>29</v>
      </c>
      <c r="C57" s="3">
        <v>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0</v>
      </c>
      <c r="M57" s="3">
        <v>3</v>
      </c>
      <c r="N57" s="3">
        <v>1</v>
      </c>
      <c r="O57" s="3">
        <v>19</v>
      </c>
      <c r="P57" s="3">
        <v>0</v>
      </c>
      <c r="Q57" s="3">
        <v>1</v>
      </c>
      <c r="R57" s="3">
        <v>1</v>
      </c>
      <c r="S57" s="3">
        <v>0</v>
      </c>
      <c r="T57" s="3">
        <v>0</v>
      </c>
      <c r="U57" s="3">
        <v>2</v>
      </c>
      <c r="V57" s="3">
        <v>0</v>
      </c>
    </row>
    <row r="58" spans="1:22" x14ac:dyDescent="0.2">
      <c r="A58" s="16" t="s">
        <v>44</v>
      </c>
      <c r="B58" s="3">
        <v>97</v>
      </c>
      <c r="C58" s="3">
        <v>5</v>
      </c>
      <c r="D58" s="3">
        <v>0</v>
      </c>
      <c r="E58" s="3">
        <v>0</v>
      </c>
      <c r="F58" s="3">
        <v>0</v>
      </c>
      <c r="G58" s="3">
        <v>2</v>
      </c>
      <c r="H58" s="3">
        <v>1</v>
      </c>
      <c r="I58" s="3">
        <v>4</v>
      </c>
      <c r="J58" s="3">
        <v>0</v>
      </c>
      <c r="K58" s="3">
        <v>2</v>
      </c>
      <c r="L58" s="3">
        <v>8</v>
      </c>
      <c r="M58" s="3">
        <v>12</v>
      </c>
      <c r="N58" s="3">
        <v>0</v>
      </c>
      <c r="O58" s="3">
        <v>31</v>
      </c>
      <c r="P58" s="3">
        <v>0</v>
      </c>
      <c r="Q58" s="3">
        <v>1</v>
      </c>
      <c r="R58" s="3">
        <v>4</v>
      </c>
      <c r="S58" s="3">
        <v>1</v>
      </c>
      <c r="T58" s="3">
        <v>0</v>
      </c>
      <c r="U58" s="3">
        <v>26</v>
      </c>
      <c r="V58" s="3">
        <v>0</v>
      </c>
    </row>
    <row r="59" spans="1:22" x14ac:dyDescent="0.2">
      <c r="A59" s="16" t="s">
        <v>45</v>
      </c>
      <c r="B59" s="3">
        <v>46</v>
      </c>
      <c r="C59" s="3">
        <v>0</v>
      </c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0</v>
      </c>
      <c r="K59" s="3">
        <v>2</v>
      </c>
      <c r="L59" s="3">
        <v>0</v>
      </c>
      <c r="M59" s="3">
        <v>3</v>
      </c>
      <c r="N59" s="3">
        <v>5</v>
      </c>
      <c r="O59" s="3">
        <v>28</v>
      </c>
      <c r="P59" s="3">
        <v>0</v>
      </c>
      <c r="Q59" s="3">
        <v>1</v>
      </c>
      <c r="R59" s="3">
        <v>2</v>
      </c>
      <c r="S59" s="3">
        <v>0</v>
      </c>
      <c r="T59" s="3">
        <v>0</v>
      </c>
      <c r="U59" s="3">
        <v>4</v>
      </c>
      <c r="V59" s="3">
        <v>0</v>
      </c>
    </row>
    <row r="60" spans="1:22" x14ac:dyDescent="0.2">
      <c r="A60" s="16" t="s">
        <v>46</v>
      </c>
      <c r="B60" s="3">
        <v>100</v>
      </c>
      <c r="C60" s="3">
        <v>4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2</v>
      </c>
      <c r="M60" s="3">
        <v>12</v>
      </c>
      <c r="N60" s="3">
        <v>1</v>
      </c>
      <c r="O60" s="3">
        <v>55</v>
      </c>
      <c r="P60" s="3">
        <v>0</v>
      </c>
      <c r="Q60" s="3">
        <v>0</v>
      </c>
      <c r="R60" s="3">
        <v>4</v>
      </c>
      <c r="S60" s="3">
        <v>2</v>
      </c>
      <c r="T60" s="3">
        <v>0</v>
      </c>
      <c r="U60" s="3">
        <v>20</v>
      </c>
      <c r="V60" s="3">
        <v>0</v>
      </c>
    </row>
    <row r="61" spans="1:22" x14ac:dyDescent="0.2">
      <c r="A61" s="14" t="s">
        <v>5</v>
      </c>
      <c r="B61" s="15">
        <v>623</v>
      </c>
      <c r="C61" s="15">
        <v>13</v>
      </c>
      <c r="D61" s="15">
        <v>0</v>
      </c>
      <c r="E61" s="15">
        <v>0</v>
      </c>
      <c r="F61" s="15">
        <v>0</v>
      </c>
      <c r="G61" s="15">
        <v>5</v>
      </c>
      <c r="H61" s="15">
        <v>0</v>
      </c>
      <c r="I61" s="15">
        <v>22</v>
      </c>
      <c r="J61" s="15">
        <v>0</v>
      </c>
      <c r="K61" s="15">
        <v>1</v>
      </c>
      <c r="L61" s="15">
        <v>16</v>
      </c>
      <c r="M61" s="15">
        <v>102</v>
      </c>
      <c r="N61" s="15">
        <v>21</v>
      </c>
      <c r="O61" s="15">
        <v>314</v>
      </c>
      <c r="P61" s="15">
        <v>0</v>
      </c>
      <c r="Q61" s="15">
        <v>4</v>
      </c>
      <c r="R61" s="15">
        <v>31</v>
      </c>
      <c r="S61" s="15">
        <v>9</v>
      </c>
      <c r="T61" s="15">
        <v>1</v>
      </c>
      <c r="U61" s="15">
        <v>84</v>
      </c>
      <c r="V61" s="15">
        <v>0</v>
      </c>
    </row>
    <row r="62" spans="1:22" x14ac:dyDescent="0.2">
      <c r="A62" s="16" t="s">
        <v>47</v>
      </c>
      <c r="B62" s="3">
        <v>38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2</v>
      </c>
      <c r="N62" s="3">
        <v>0</v>
      </c>
      <c r="O62" s="3">
        <v>28</v>
      </c>
      <c r="P62" s="3">
        <v>0</v>
      </c>
      <c r="Q62" s="3">
        <v>0</v>
      </c>
      <c r="R62" s="3">
        <v>4</v>
      </c>
      <c r="S62" s="3">
        <v>1</v>
      </c>
      <c r="T62" s="3">
        <v>0</v>
      </c>
      <c r="U62" s="3">
        <v>3</v>
      </c>
      <c r="V62" s="3">
        <v>0</v>
      </c>
    </row>
    <row r="63" spans="1:22" x14ac:dyDescent="0.2">
      <c r="A63" s="16" t="s">
        <v>48</v>
      </c>
      <c r="B63" s="3">
        <v>45</v>
      </c>
      <c r="C63" s="3">
        <v>6</v>
      </c>
      <c r="D63" s="3">
        <v>0</v>
      </c>
      <c r="E63" s="3">
        <v>0</v>
      </c>
      <c r="F63" s="3">
        <v>0</v>
      </c>
      <c r="G63" s="3">
        <v>1</v>
      </c>
      <c r="H63" s="3">
        <v>0</v>
      </c>
      <c r="I63" s="3">
        <v>2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33</v>
      </c>
      <c r="P63" s="3">
        <v>0</v>
      </c>
      <c r="Q63" s="3">
        <v>1</v>
      </c>
      <c r="R63" s="3">
        <v>0</v>
      </c>
      <c r="S63" s="3">
        <v>0</v>
      </c>
      <c r="T63" s="3">
        <v>0</v>
      </c>
      <c r="U63" s="3">
        <v>1</v>
      </c>
      <c r="V63" s="3">
        <v>0</v>
      </c>
    </row>
    <row r="64" spans="1:22" x14ac:dyDescent="0.2">
      <c r="A64" s="16" t="s">
        <v>49</v>
      </c>
      <c r="B64" s="3">
        <v>202</v>
      </c>
      <c r="C64" s="3">
        <v>0</v>
      </c>
      <c r="D64" s="3">
        <v>0</v>
      </c>
      <c r="E64" s="3">
        <v>0</v>
      </c>
      <c r="F64" s="3">
        <v>0</v>
      </c>
      <c r="G64" s="3">
        <v>1</v>
      </c>
      <c r="H64" s="3">
        <v>0</v>
      </c>
      <c r="I64" s="3">
        <v>20</v>
      </c>
      <c r="J64" s="3">
        <v>0</v>
      </c>
      <c r="K64" s="3">
        <v>0</v>
      </c>
      <c r="L64" s="3">
        <v>12</v>
      </c>
      <c r="M64" s="3">
        <v>71</v>
      </c>
      <c r="N64" s="3">
        <v>9</v>
      </c>
      <c r="O64" s="3">
        <v>48</v>
      </c>
      <c r="P64" s="3">
        <v>0</v>
      </c>
      <c r="Q64" s="3">
        <v>0</v>
      </c>
      <c r="R64" s="3">
        <v>3</v>
      </c>
      <c r="S64" s="3">
        <v>3</v>
      </c>
      <c r="T64" s="3">
        <v>0</v>
      </c>
      <c r="U64" s="3">
        <v>35</v>
      </c>
      <c r="V64" s="3">
        <v>0</v>
      </c>
    </row>
    <row r="65" spans="1:22" x14ac:dyDescent="0.2">
      <c r="A65" s="16" t="s">
        <v>50</v>
      </c>
      <c r="B65" s="3">
        <v>65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2</v>
      </c>
      <c r="M65" s="3">
        <v>8</v>
      </c>
      <c r="N65" s="3">
        <v>0</v>
      </c>
      <c r="O65" s="3">
        <v>25</v>
      </c>
      <c r="P65" s="3">
        <v>0</v>
      </c>
      <c r="Q65" s="3">
        <v>0</v>
      </c>
      <c r="R65" s="3">
        <v>5</v>
      </c>
      <c r="S65" s="3">
        <v>2</v>
      </c>
      <c r="T65" s="3">
        <v>0</v>
      </c>
      <c r="U65" s="3">
        <v>23</v>
      </c>
      <c r="V65" s="3">
        <v>0</v>
      </c>
    </row>
    <row r="66" spans="1:22" x14ac:dyDescent="0.2">
      <c r="A66" s="16" t="s">
        <v>5</v>
      </c>
      <c r="B66" s="3">
        <v>64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11</v>
      </c>
      <c r="N66" s="3">
        <v>5</v>
      </c>
      <c r="O66" s="3">
        <v>35</v>
      </c>
      <c r="P66" s="3">
        <v>0</v>
      </c>
      <c r="Q66" s="3">
        <v>0</v>
      </c>
      <c r="R66" s="3">
        <v>6</v>
      </c>
      <c r="S66" s="3">
        <v>1</v>
      </c>
      <c r="T66" s="3">
        <v>0</v>
      </c>
      <c r="U66" s="3">
        <v>5</v>
      </c>
      <c r="V66" s="3">
        <v>0</v>
      </c>
    </row>
    <row r="67" spans="1:22" x14ac:dyDescent="0.2">
      <c r="A67" s="16" t="s">
        <v>51</v>
      </c>
      <c r="B67" s="3">
        <v>38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1</v>
      </c>
      <c r="M67" s="3">
        <v>3</v>
      </c>
      <c r="N67" s="3">
        <v>2</v>
      </c>
      <c r="O67" s="3">
        <v>23</v>
      </c>
      <c r="P67" s="3">
        <v>0</v>
      </c>
      <c r="Q67" s="3">
        <v>0</v>
      </c>
      <c r="R67" s="3">
        <v>4</v>
      </c>
      <c r="S67" s="3">
        <v>1</v>
      </c>
      <c r="T67" s="3">
        <v>0</v>
      </c>
      <c r="U67" s="3">
        <v>3</v>
      </c>
      <c r="V67" s="3">
        <v>0</v>
      </c>
    </row>
    <row r="68" spans="1:22" x14ac:dyDescent="0.2">
      <c r="A68" s="16" t="s">
        <v>52</v>
      </c>
      <c r="B68" s="3">
        <v>40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</v>
      </c>
      <c r="N68" s="3">
        <v>3</v>
      </c>
      <c r="O68" s="3">
        <v>28</v>
      </c>
      <c r="P68" s="3">
        <v>0</v>
      </c>
      <c r="Q68" s="3">
        <v>0</v>
      </c>
      <c r="R68" s="3">
        <v>4</v>
      </c>
      <c r="S68" s="3">
        <v>0</v>
      </c>
      <c r="T68" s="3">
        <v>0</v>
      </c>
      <c r="U68" s="3">
        <v>3</v>
      </c>
      <c r="V68" s="3">
        <v>0</v>
      </c>
    </row>
    <row r="69" spans="1:22" x14ac:dyDescent="0.2">
      <c r="A69" s="16" t="s">
        <v>53</v>
      </c>
      <c r="B69" s="3">
        <v>35</v>
      </c>
      <c r="C69" s="3">
        <v>0</v>
      </c>
      <c r="D69" s="3">
        <v>0</v>
      </c>
      <c r="E69" s="3">
        <v>0</v>
      </c>
      <c r="F69" s="3">
        <v>0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30</v>
      </c>
      <c r="P69" s="3">
        <v>0</v>
      </c>
      <c r="Q69" s="3">
        <v>1</v>
      </c>
      <c r="R69" s="3">
        <v>2</v>
      </c>
      <c r="S69" s="3">
        <v>0</v>
      </c>
      <c r="T69" s="3">
        <v>0</v>
      </c>
      <c r="U69" s="3">
        <v>1</v>
      </c>
      <c r="V69" s="3">
        <v>0</v>
      </c>
    </row>
    <row r="70" spans="1:22" x14ac:dyDescent="0.2">
      <c r="A70" s="16" t="s">
        <v>54</v>
      </c>
      <c r="B70" s="3">
        <v>47</v>
      </c>
      <c r="C70" s="3">
        <v>3</v>
      </c>
      <c r="D70" s="3">
        <v>0</v>
      </c>
      <c r="E70" s="3">
        <v>0</v>
      </c>
      <c r="F70" s="3">
        <v>0</v>
      </c>
      <c r="G70" s="3">
        <v>2</v>
      </c>
      <c r="H70" s="3">
        <v>0</v>
      </c>
      <c r="I70" s="3">
        <v>0</v>
      </c>
      <c r="J70" s="3">
        <v>0</v>
      </c>
      <c r="K70" s="3">
        <v>1</v>
      </c>
      <c r="L70" s="3">
        <v>1</v>
      </c>
      <c r="M70" s="3">
        <v>1</v>
      </c>
      <c r="N70" s="3">
        <v>0</v>
      </c>
      <c r="O70" s="3">
        <v>31</v>
      </c>
      <c r="P70" s="3">
        <v>0</v>
      </c>
      <c r="Q70" s="3">
        <v>1</v>
      </c>
      <c r="R70" s="3">
        <v>2</v>
      </c>
      <c r="S70" s="3">
        <v>1</v>
      </c>
      <c r="T70" s="3">
        <v>0</v>
      </c>
      <c r="U70" s="3">
        <v>4</v>
      </c>
      <c r="V70" s="3">
        <v>0</v>
      </c>
    </row>
    <row r="71" spans="1:22" x14ac:dyDescent="0.2">
      <c r="A71" s="16" t="s">
        <v>55</v>
      </c>
      <c r="B71" s="3">
        <v>49</v>
      </c>
      <c r="C71" s="3">
        <v>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3</v>
      </c>
      <c r="N71" s="3">
        <v>2</v>
      </c>
      <c r="O71" s="3">
        <v>33</v>
      </c>
      <c r="P71" s="3">
        <v>0</v>
      </c>
      <c r="Q71" s="3">
        <v>1</v>
      </c>
      <c r="R71" s="3">
        <v>1</v>
      </c>
      <c r="S71" s="3">
        <v>0</v>
      </c>
      <c r="T71" s="3">
        <v>1</v>
      </c>
      <c r="U71" s="3">
        <v>6</v>
      </c>
      <c r="V71" s="3">
        <v>0</v>
      </c>
    </row>
    <row r="72" spans="1:22" x14ac:dyDescent="0.2">
      <c r="A72" s="14" t="s">
        <v>6</v>
      </c>
      <c r="B72" s="15">
        <v>377</v>
      </c>
      <c r="C72" s="15">
        <v>0</v>
      </c>
      <c r="D72" s="15">
        <v>1</v>
      </c>
      <c r="E72" s="15">
        <v>0</v>
      </c>
      <c r="F72" s="15">
        <v>0</v>
      </c>
      <c r="G72" s="15">
        <v>3</v>
      </c>
      <c r="H72" s="15">
        <v>0</v>
      </c>
      <c r="I72" s="15">
        <v>1</v>
      </c>
      <c r="J72" s="15">
        <v>0</v>
      </c>
      <c r="K72" s="15">
        <v>0</v>
      </c>
      <c r="L72" s="15">
        <v>0</v>
      </c>
      <c r="M72" s="15">
        <v>204</v>
      </c>
      <c r="N72" s="15">
        <v>15</v>
      </c>
      <c r="O72" s="15">
        <v>97</v>
      </c>
      <c r="P72" s="15">
        <v>2</v>
      </c>
      <c r="Q72" s="15">
        <v>0</v>
      </c>
      <c r="R72" s="15">
        <v>1</v>
      </c>
      <c r="S72" s="15">
        <v>10</v>
      </c>
      <c r="T72" s="15">
        <v>0</v>
      </c>
      <c r="U72" s="15">
        <v>41</v>
      </c>
      <c r="V72" s="15">
        <v>2</v>
      </c>
    </row>
    <row r="73" spans="1:22" x14ac:dyDescent="0.2">
      <c r="A73" s="16" t="s">
        <v>56</v>
      </c>
      <c r="B73" s="3">
        <v>14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</v>
      </c>
      <c r="O73" s="3">
        <v>12</v>
      </c>
      <c r="P73" s="3">
        <v>0</v>
      </c>
      <c r="Q73" s="3">
        <v>0</v>
      </c>
      <c r="R73" s="3">
        <v>0</v>
      </c>
      <c r="S73" s="3">
        <v>1</v>
      </c>
      <c r="T73" s="3">
        <v>0</v>
      </c>
      <c r="U73" s="3">
        <v>0</v>
      </c>
      <c r="V73" s="3">
        <v>0</v>
      </c>
    </row>
    <row r="74" spans="1:22" x14ac:dyDescent="0.2">
      <c r="A74" s="16" t="s">
        <v>57</v>
      </c>
      <c r="B74" s="3">
        <v>27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1</v>
      </c>
      <c r="N74" s="3">
        <v>1</v>
      </c>
      <c r="O74" s="3">
        <v>14</v>
      </c>
      <c r="P74" s="3">
        <v>0</v>
      </c>
      <c r="Q74" s="3">
        <v>0</v>
      </c>
      <c r="R74" s="3">
        <v>0</v>
      </c>
      <c r="S74" s="3">
        <v>1</v>
      </c>
      <c r="T74" s="3">
        <v>0</v>
      </c>
      <c r="U74" s="3">
        <v>10</v>
      </c>
      <c r="V74" s="3">
        <v>0</v>
      </c>
    </row>
    <row r="75" spans="1:22" x14ac:dyDescent="0.2">
      <c r="A75" s="16" t="s">
        <v>58</v>
      </c>
      <c r="B75" s="3">
        <v>44</v>
      </c>
      <c r="C75" s="3">
        <v>0</v>
      </c>
      <c r="D75" s="3">
        <v>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17</v>
      </c>
      <c r="N75" s="3">
        <v>2</v>
      </c>
      <c r="O75" s="3">
        <v>16</v>
      </c>
      <c r="P75" s="3">
        <v>2</v>
      </c>
      <c r="Q75" s="3">
        <v>0</v>
      </c>
      <c r="R75" s="3">
        <v>1</v>
      </c>
      <c r="S75" s="3">
        <v>2</v>
      </c>
      <c r="T75" s="3">
        <v>0</v>
      </c>
      <c r="U75" s="3">
        <v>3</v>
      </c>
      <c r="V75" s="3">
        <v>0</v>
      </c>
    </row>
    <row r="76" spans="1:22" x14ac:dyDescent="0.2">
      <c r="A76" s="16" t="s">
        <v>59</v>
      </c>
      <c r="B76" s="3">
        <v>41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15</v>
      </c>
      <c r="N76" s="3">
        <v>1</v>
      </c>
      <c r="O76" s="3">
        <v>15</v>
      </c>
      <c r="P76" s="3">
        <v>0</v>
      </c>
      <c r="Q76" s="3">
        <v>0</v>
      </c>
      <c r="R76" s="3">
        <v>0</v>
      </c>
      <c r="S76" s="3">
        <v>2</v>
      </c>
      <c r="T76" s="3">
        <v>0</v>
      </c>
      <c r="U76" s="3">
        <v>8</v>
      </c>
      <c r="V76" s="3">
        <v>0</v>
      </c>
    </row>
    <row r="77" spans="1:22" x14ac:dyDescent="0.2">
      <c r="A77" s="16" t="s">
        <v>6</v>
      </c>
      <c r="B77" s="3">
        <v>207</v>
      </c>
      <c r="C77" s="3">
        <v>0</v>
      </c>
      <c r="D77" s="3">
        <v>0</v>
      </c>
      <c r="E77" s="3">
        <v>0</v>
      </c>
      <c r="F77" s="3">
        <v>0</v>
      </c>
      <c r="G77" s="3">
        <v>3</v>
      </c>
      <c r="H77" s="3">
        <v>0</v>
      </c>
      <c r="I77" s="3">
        <v>1</v>
      </c>
      <c r="J77" s="3">
        <v>0</v>
      </c>
      <c r="K77" s="3">
        <v>0</v>
      </c>
      <c r="L77" s="3">
        <v>0</v>
      </c>
      <c r="M77" s="3">
        <v>163</v>
      </c>
      <c r="N77" s="3">
        <v>3</v>
      </c>
      <c r="O77" s="3">
        <v>15</v>
      </c>
      <c r="P77" s="3">
        <v>0</v>
      </c>
      <c r="Q77" s="3">
        <v>0</v>
      </c>
      <c r="R77" s="3">
        <v>0</v>
      </c>
      <c r="S77" s="3">
        <v>2</v>
      </c>
      <c r="T77" s="3">
        <v>0</v>
      </c>
      <c r="U77" s="3">
        <v>18</v>
      </c>
      <c r="V77" s="3">
        <v>2</v>
      </c>
    </row>
    <row r="78" spans="1:22" x14ac:dyDescent="0.2">
      <c r="A78" s="16" t="s">
        <v>60</v>
      </c>
      <c r="B78" s="3">
        <v>19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4</v>
      </c>
      <c r="N78" s="3">
        <v>1</v>
      </c>
      <c r="O78" s="3">
        <v>12</v>
      </c>
      <c r="P78" s="3">
        <v>0</v>
      </c>
      <c r="Q78" s="3">
        <v>0</v>
      </c>
      <c r="R78" s="3">
        <v>0</v>
      </c>
      <c r="S78" s="3">
        <v>1</v>
      </c>
      <c r="T78" s="3">
        <v>0</v>
      </c>
      <c r="U78" s="3">
        <v>1</v>
      </c>
      <c r="V78" s="3">
        <v>0</v>
      </c>
    </row>
    <row r="79" spans="1:22" x14ac:dyDescent="0.2">
      <c r="A79" s="16" t="s">
        <v>61</v>
      </c>
      <c r="B79" s="3">
        <v>25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4</v>
      </c>
      <c r="N79" s="3">
        <v>6</v>
      </c>
      <c r="O79" s="3">
        <v>13</v>
      </c>
      <c r="P79" s="3">
        <v>0</v>
      </c>
      <c r="Q79" s="3">
        <v>0</v>
      </c>
      <c r="R79" s="3">
        <v>0</v>
      </c>
      <c r="S79" s="3">
        <v>1</v>
      </c>
      <c r="T79" s="3">
        <v>0</v>
      </c>
      <c r="U79" s="3">
        <v>1</v>
      </c>
      <c r="V79" s="3">
        <v>0</v>
      </c>
    </row>
    <row r="80" spans="1:22" x14ac:dyDescent="0.2">
      <c r="A80" s="14" t="s">
        <v>7</v>
      </c>
      <c r="B80" s="15">
        <v>1785</v>
      </c>
      <c r="C80" s="15">
        <v>2</v>
      </c>
      <c r="D80" s="15">
        <v>4</v>
      </c>
      <c r="E80" s="15">
        <v>0</v>
      </c>
      <c r="F80" s="15">
        <v>0</v>
      </c>
      <c r="G80" s="15">
        <v>3</v>
      </c>
      <c r="H80" s="15">
        <v>8</v>
      </c>
      <c r="I80" s="15">
        <v>36</v>
      </c>
      <c r="J80" s="15">
        <v>1</v>
      </c>
      <c r="K80" s="15">
        <v>0</v>
      </c>
      <c r="L80" s="15">
        <v>5</v>
      </c>
      <c r="M80" s="15">
        <v>931</v>
      </c>
      <c r="N80" s="15">
        <v>39</v>
      </c>
      <c r="O80" s="15">
        <v>292</v>
      </c>
      <c r="P80" s="15">
        <v>0</v>
      </c>
      <c r="Q80" s="15">
        <v>0</v>
      </c>
      <c r="R80" s="15">
        <v>21</v>
      </c>
      <c r="S80" s="15">
        <v>14</v>
      </c>
      <c r="T80" s="15">
        <v>1</v>
      </c>
      <c r="U80" s="15">
        <v>421</v>
      </c>
      <c r="V80" s="15">
        <v>7</v>
      </c>
    </row>
    <row r="81" spans="1:22" x14ac:dyDescent="0.2">
      <c r="A81" s="16" t="s">
        <v>62</v>
      </c>
      <c r="B81" s="3">
        <v>182</v>
      </c>
      <c r="C81" s="3">
        <v>0</v>
      </c>
      <c r="D81" s="3">
        <v>2</v>
      </c>
      <c r="E81" s="3">
        <v>0</v>
      </c>
      <c r="F81" s="3">
        <v>0</v>
      </c>
      <c r="G81" s="3">
        <v>0</v>
      </c>
      <c r="H81" s="3">
        <v>1</v>
      </c>
      <c r="I81" s="3">
        <v>4</v>
      </c>
      <c r="J81" s="3">
        <v>0</v>
      </c>
      <c r="K81" s="3">
        <v>0</v>
      </c>
      <c r="L81" s="3">
        <v>1</v>
      </c>
      <c r="M81" s="3">
        <v>114</v>
      </c>
      <c r="N81" s="3">
        <v>5</v>
      </c>
      <c r="O81" s="3">
        <v>25</v>
      </c>
      <c r="P81" s="3">
        <v>0</v>
      </c>
      <c r="Q81" s="3">
        <v>0</v>
      </c>
      <c r="R81" s="3">
        <v>2</v>
      </c>
      <c r="S81" s="3">
        <v>1</v>
      </c>
      <c r="T81" s="3">
        <v>0</v>
      </c>
      <c r="U81" s="3">
        <v>24</v>
      </c>
      <c r="V81" s="3">
        <v>3</v>
      </c>
    </row>
    <row r="82" spans="1:22" x14ac:dyDescent="0.2">
      <c r="A82" s="16" t="s">
        <v>63</v>
      </c>
      <c r="B82" s="3">
        <v>124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3</v>
      </c>
      <c r="J82" s="3">
        <v>0</v>
      </c>
      <c r="K82" s="3">
        <v>0</v>
      </c>
      <c r="L82" s="3">
        <v>1</v>
      </c>
      <c r="M82" s="3">
        <v>85</v>
      </c>
      <c r="N82" s="3">
        <v>4</v>
      </c>
      <c r="O82" s="3">
        <v>23</v>
      </c>
      <c r="P82" s="3">
        <v>0</v>
      </c>
      <c r="Q82" s="3">
        <v>0</v>
      </c>
      <c r="R82" s="3">
        <v>4</v>
      </c>
      <c r="S82" s="3">
        <v>1</v>
      </c>
      <c r="T82" s="3">
        <v>0</v>
      </c>
      <c r="U82" s="3">
        <v>3</v>
      </c>
      <c r="V82" s="3">
        <v>0</v>
      </c>
    </row>
    <row r="83" spans="1:22" x14ac:dyDescent="0.2">
      <c r="A83" s="16" t="s">
        <v>64</v>
      </c>
      <c r="B83" s="3">
        <v>104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50</v>
      </c>
      <c r="N83" s="3">
        <v>2</v>
      </c>
      <c r="O83" s="3">
        <v>19</v>
      </c>
      <c r="P83" s="3">
        <v>0</v>
      </c>
      <c r="Q83" s="3">
        <v>0</v>
      </c>
      <c r="R83" s="3">
        <v>5</v>
      </c>
      <c r="S83" s="3">
        <v>1</v>
      </c>
      <c r="T83" s="3">
        <v>0</v>
      </c>
      <c r="U83" s="3">
        <v>27</v>
      </c>
      <c r="V83" s="3">
        <v>0</v>
      </c>
    </row>
    <row r="84" spans="1:22" x14ac:dyDescent="0.2">
      <c r="A84" s="16" t="s">
        <v>65</v>
      </c>
      <c r="B84" s="3">
        <v>17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1</v>
      </c>
      <c r="J84" s="3">
        <v>0</v>
      </c>
      <c r="K84" s="3">
        <v>0</v>
      </c>
      <c r="L84" s="3">
        <v>0</v>
      </c>
      <c r="M84" s="3">
        <v>3</v>
      </c>
      <c r="N84" s="3">
        <v>1</v>
      </c>
      <c r="O84" s="3">
        <v>8</v>
      </c>
      <c r="P84" s="3">
        <v>0</v>
      </c>
      <c r="Q84" s="3">
        <v>0</v>
      </c>
      <c r="R84" s="3">
        <v>1</v>
      </c>
      <c r="S84" s="3">
        <v>1</v>
      </c>
      <c r="T84" s="3">
        <v>0</v>
      </c>
      <c r="U84" s="3">
        <v>2</v>
      </c>
      <c r="V84" s="3">
        <v>0</v>
      </c>
    </row>
    <row r="85" spans="1:22" x14ac:dyDescent="0.2">
      <c r="A85" s="16" t="s">
        <v>66</v>
      </c>
      <c r="B85" s="3">
        <v>59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>
        <v>37</v>
      </c>
      <c r="N85" s="3">
        <v>1</v>
      </c>
      <c r="O85" s="3">
        <v>11</v>
      </c>
      <c r="P85" s="3">
        <v>0</v>
      </c>
      <c r="Q85" s="3">
        <v>0</v>
      </c>
      <c r="R85" s="3">
        <v>0</v>
      </c>
      <c r="S85" s="3">
        <v>2</v>
      </c>
      <c r="T85" s="3">
        <v>0</v>
      </c>
      <c r="U85" s="3">
        <v>6</v>
      </c>
      <c r="V85" s="3">
        <v>1</v>
      </c>
    </row>
    <row r="86" spans="1:22" x14ac:dyDescent="0.2">
      <c r="A86" s="16" t="s">
        <v>67</v>
      </c>
      <c r="B86" s="3">
        <v>73</v>
      </c>
      <c r="C86" s="3">
        <v>0</v>
      </c>
      <c r="D86" s="3">
        <v>0</v>
      </c>
      <c r="E86" s="3">
        <v>0</v>
      </c>
      <c r="F86" s="3">
        <v>0</v>
      </c>
      <c r="G86" s="3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57</v>
      </c>
      <c r="N86" s="3">
        <v>1</v>
      </c>
      <c r="O86" s="3">
        <v>11</v>
      </c>
      <c r="P86" s="3">
        <v>0</v>
      </c>
      <c r="Q86" s="3">
        <v>0</v>
      </c>
      <c r="R86" s="3">
        <v>1</v>
      </c>
      <c r="S86" s="3">
        <v>2</v>
      </c>
      <c r="T86" s="3">
        <v>0</v>
      </c>
      <c r="U86" s="3">
        <v>0</v>
      </c>
      <c r="V86" s="3">
        <v>0</v>
      </c>
    </row>
    <row r="87" spans="1:22" x14ac:dyDescent="0.2">
      <c r="A87" s="16" t="s">
        <v>68</v>
      </c>
      <c r="B87" s="3">
        <v>291</v>
      </c>
      <c r="C87" s="3">
        <v>1</v>
      </c>
      <c r="D87" s="3">
        <v>1</v>
      </c>
      <c r="E87" s="3">
        <v>0</v>
      </c>
      <c r="F87" s="3">
        <v>0</v>
      </c>
      <c r="G87" s="3">
        <v>2</v>
      </c>
      <c r="H87" s="3">
        <v>0</v>
      </c>
      <c r="I87" s="3">
        <v>16</v>
      </c>
      <c r="J87" s="3">
        <v>0</v>
      </c>
      <c r="K87" s="3">
        <v>0</v>
      </c>
      <c r="L87" s="3">
        <v>0</v>
      </c>
      <c r="M87" s="3">
        <v>79</v>
      </c>
      <c r="N87" s="3">
        <v>10</v>
      </c>
      <c r="O87" s="3">
        <v>56</v>
      </c>
      <c r="P87" s="3">
        <v>0</v>
      </c>
      <c r="Q87" s="3">
        <v>0</v>
      </c>
      <c r="R87" s="3">
        <v>3</v>
      </c>
      <c r="S87" s="3">
        <v>2</v>
      </c>
      <c r="T87" s="3">
        <v>1</v>
      </c>
      <c r="U87" s="3">
        <v>120</v>
      </c>
      <c r="V87" s="3">
        <v>0</v>
      </c>
    </row>
    <row r="88" spans="1:22" x14ac:dyDescent="0.2">
      <c r="A88" s="16" t="s">
        <v>7</v>
      </c>
      <c r="B88" s="3">
        <v>305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5</v>
      </c>
      <c r="I88" s="3">
        <v>1</v>
      </c>
      <c r="J88" s="3">
        <v>1</v>
      </c>
      <c r="K88" s="3">
        <v>0</v>
      </c>
      <c r="L88" s="3">
        <v>0</v>
      </c>
      <c r="M88" s="3">
        <v>258</v>
      </c>
      <c r="N88" s="3">
        <v>2</v>
      </c>
      <c r="O88" s="3">
        <v>32</v>
      </c>
      <c r="P88" s="3">
        <v>0</v>
      </c>
      <c r="Q88" s="3">
        <v>0</v>
      </c>
      <c r="R88" s="3">
        <v>0</v>
      </c>
      <c r="S88" s="3">
        <v>2</v>
      </c>
      <c r="T88" s="3">
        <v>0</v>
      </c>
      <c r="U88" s="3">
        <v>3</v>
      </c>
      <c r="V88" s="3">
        <v>1</v>
      </c>
    </row>
    <row r="89" spans="1:22" x14ac:dyDescent="0.2">
      <c r="A89" s="16" t="s">
        <v>69</v>
      </c>
      <c r="B89" s="3">
        <v>463</v>
      </c>
      <c r="C89" s="3">
        <v>1</v>
      </c>
      <c r="D89" s="3">
        <v>1</v>
      </c>
      <c r="E89" s="3">
        <v>0</v>
      </c>
      <c r="F89" s="3">
        <v>0</v>
      </c>
      <c r="G89" s="3">
        <v>0</v>
      </c>
      <c r="H89" s="3">
        <v>1</v>
      </c>
      <c r="I89" s="3">
        <v>10</v>
      </c>
      <c r="J89" s="3">
        <v>0</v>
      </c>
      <c r="K89" s="3">
        <v>0</v>
      </c>
      <c r="L89" s="3">
        <v>2</v>
      </c>
      <c r="M89" s="3">
        <v>104</v>
      </c>
      <c r="N89" s="3">
        <v>6</v>
      </c>
      <c r="O89" s="3">
        <v>100</v>
      </c>
      <c r="P89" s="3">
        <v>0</v>
      </c>
      <c r="Q89" s="3">
        <v>0</v>
      </c>
      <c r="R89" s="3">
        <v>4</v>
      </c>
      <c r="S89" s="3">
        <v>1</v>
      </c>
      <c r="T89" s="3">
        <v>0</v>
      </c>
      <c r="U89" s="3">
        <v>231</v>
      </c>
      <c r="V89" s="3">
        <v>2</v>
      </c>
    </row>
    <row r="90" spans="1:22" x14ac:dyDescent="0.2">
      <c r="A90" s="16" t="s">
        <v>70</v>
      </c>
      <c r="B90" s="3">
        <v>167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1</v>
      </c>
      <c r="J90" s="3">
        <v>0</v>
      </c>
      <c r="K90" s="3">
        <v>0</v>
      </c>
      <c r="L90" s="3">
        <v>1</v>
      </c>
      <c r="M90" s="3">
        <v>144</v>
      </c>
      <c r="N90" s="3">
        <v>7</v>
      </c>
      <c r="O90" s="3">
        <v>7</v>
      </c>
      <c r="P90" s="3">
        <v>0</v>
      </c>
      <c r="Q90" s="3">
        <v>0</v>
      </c>
      <c r="R90" s="3">
        <v>1</v>
      </c>
      <c r="S90" s="3">
        <v>1</v>
      </c>
      <c r="T90" s="3">
        <v>0</v>
      </c>
      <c r="U90" s="3">
        <v>5</v>
      </c>
      <c r="V90" s="3">
        <v>0</v>
      </c>
    </row>
    <row r="91" spans="1:22" x14ac:dyDescent="0.2">
      <c r="A91" s="14" t="s">
        <v>8</v>
      </c>
      <c r="B91" s="15">
        <v>313</v>
      </c>
      <c r="C91" s="15">
        <v>0</v>
      </c>
      <c r="D91" s="15">
        <v>1</v>
      </c>
      <c r="E91" s="15">
        <v>1</v>
      </c>
      <c r="F91" s="15">
        <v>0</v>
      </c>
      <c r="G91" s="15">
        <v>2</v>
      </c>
      <c r="H91" s="15">
        <v>5</v>
      </c>
      <c r="I91" s="15">
        <v>1</v>
      </c>
      <c r="J91" s="15">
        <v>0</v>
      </c>
      <c r="K91" s="15">
        <v>0</v>
      </c>
      <c r="L91" s="15">
        <v>6</v>
      </c>
      <c r="M91" s="15">
        <v>163</v>
      </c>
      <c r="N91" s="15">
        <v>6</v>
      </c>
      <c r="O91" s="15">
        <v>64</v>
      </c>
      <c r="P91" s="15">
        <v>4</v>
      </c>
      <c r="Q91" s="15">
        <v>8</v>
      </c>
      <c r="R91" s="15">
        <v>6</v>
      </c>
      <c r="S91" s="15">
        <v>10</v>
      </c>
      <c r="T91" s="15">
        <v>1</v>
      </c>
      <c r="U91" s="15">
        <v>33</v>
      </c>
      <c r="V91" s="15">
        <v>2</v>
      </c>
    </row>
    <row r="92" spans="1:22" x14ac:dyDescent="0.2">
      <c r="A92" s="16" t="s">
        <v>71</v>
      </c>
      <c r="B92" s="3">
        <v>14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6</v>
      </c>
      <c r="N92" s="3">
        <v>0</v>
      </c>
      <c r="O92" s="3">
        <v>5</v>
      </c>
      <c r="P92" s="3">
        <v>0</v>
      </c>
      <c r="Q92" s="3">
        <v>0</v>
      </c>
      <c r="R92" s="3">
        <v>1</v>
      </c>
      <c r="S92" s="3">
        <v>2</v>
      </c>
      <c r="T92" s="3">
        <v>0</v>
      </c>
      <c r="U92" s="3">
        <v>0</v>
      </c>
      <c r="V92" s="3">
        <v>0</v>
      </c>
    </row>
    <row r="93" spans="1:22" x14ac:dyDescent="0.2">
      <c r="A93" s="16" t="s">
        <v>72</v>
      </c>
      <c r="B93" s="3">
        <v>30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14</v>
      </c>
      <c r="N93" s="3">
        <v>2</v>
      </c>
      <c r="O93" s="3">
        <v>8</v>
      </c>
      <c r="P93" s="3">
        <v>0</v>
      </c>
      <c r="Q93" s="3">
        <v>0</v>
      </c>
      <c r="R93" s="3">
        <v>1</v>
      </c>
      <c r="S93" s="3">
        <v>2</v>
      </c>
      <c r="T93" s="3">
        <v>0</v>
      </c>
      <c r="U93" s="3">
        <v>3</v>
      </c>
      <c r="V93" s="3">
        <v>0</v>
      </c>
    </row>
    <row r="94" spans="1:22" x14ac:dyDescent="0.2">
      <c r="A94" s="16" t="s">
        <v>73</v>
      </c>
      <c r="B94" s="3">
        <v>31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9</v>
      </c>
      <c r="N94" s="3">
        <v>1</v>
      </c>
      <c r="O94" s="3">
        <v>17</v>
      </c>
      <c r="P94" s="3">
        <v>0</v>
      </c>
      <c r="Q94" s="3">
        <v>0</v>
      </c>
      <c r="R94" s="3">
        <v>1</v>
      </c>
      <c r="S94" s="3">
        <v>1</v>
      </c>
      <c r="T94" s="3">
        <v>0</v>
      </c>
      <c r="U94" s="3">
        <v>2</v>
      </c>
      <c r="V94" s="3">
        <v>0</v>
      </c>
    </row>
    <row r="95" spans="1:22" x14ac:dyDescent="0.2">
      <c r="A95" s="16" t="s">
        <v>74</v>
      </c>
      <c r="B95" s="3">
        <v>9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1</v>
      </c>
      <c r="M95" s="3">
        <v>1</v>
      </c>
      <c r="N95" s="3">
        <v>0</v>
      </c>
      <c r="O95" s="3">
        <v>5</v>
      </c>
      <c r="P95" s="3">
        <v>0</v>
      </c>
      <c r="Q95" s="3">
        <v>0</v>
      </c>
      <c r="R95" s="3">
        <v>1</v>
      </c>
      <c r="S95" s="3">
        <v>1</v>
      </c>
      <c r="T95" s="3">
        <v>0</v>
      </c>
      <c r="U95" s="3">
        <v>0</v>
      </c>
      <c r="V95" s="3">
        <v>0</v>
      </c>
    </row>
    <row r="96" spans="1:22" x14ac:dyDescent="0.2">
      <c r="A96" s="16" t="s">
        <v>8</v>
      </c>
      <c r="B96" s="3">
        <v>154</v>
      </c>
      <c r="C96" s="3">
        <v>0</v>
      </c>
      <c r="D96" s="3">
        <v>1</v>
      </c>
      <c r="E96" s="3">
        <v>1</v>
      </c>
      <c r="F96" s="3">
        <v>0</v>
      </c>
      <c r="G96" s="3">
        <v>1</v>
      </c>
      <c r="H96" s="3">
        <v>2</v>
      </c>
      <c r="I96" s="3">
        <v>0</v>
      </c>
      <c r="J96" s="3">
        <v>0</v>
      </c>
      <c r="K96" s="3">
        <v>0</v>
      </c>
      <c r="L96" s="3">
        <v>3</v>
      </c>
      <c r="M96" s="3">
        <v>98</v>
      </c>
      <c r="N96" s="3">
        <v>2</v>
      </c>
      <c r="O96" s="3">
        <v>19</v>
      </c>
      <c r="P96" s="3">
        <v>4</v>
      </c>
      <c r="Q96" s="3">
        <v>0</v>
      </c>
      <c r="R96" s="3">
        <v>1</v>
      </c>
      <c r="S96" s="3">
        <v>3</v>
      </c>
      <c r="T96" s="3">
        <v>0</v>
      </c>
      <c r="U96" s="3">
        <v>17</v>
      </c>
      <c r="V96" s="3">
        <v>2</v>
      </c>
    </row>
    <row r="97" spans="1:22" x14ac:dyDescent="0.2">
      <c r="A97" s="16" t="s">
        <v>75</v>
      </c>
      <c r="B97" s="3">
        <v>75</v>
      </c>
      <c r="C97" s="3">
        <v>0</v>
      </c>
      <c r="D97" s="3">
        <v>0</v>
      </c>
      <c r="E97" s="3">
        <v>0</v>
      </c>
      <c r="F97" s="3">
        <v>0</v>
      </c>
      <c r="G97" s="3">
        <v>1</v>
      </c>
      <c r="H97" s="3">
        <v>3</v>
      </c>
      <c r="I97" s="3">
        <v>1</v>
      </c>
      <c r="J97" s="3">
        <v>0</v>
      </c>
      <c r="K97" s="3">
        <v>0</v>
      </c>
      <c r="L97" s="3">
        <v>2</v>
      </c>
      <c r="M97" s="3">
        <v>35</v>
      </c>
      <c r="N97" s="3">
        <v>1</v>
      </c>
      <c r="O97" s="3">
        <v>10</v>
      </c>
      <c r="P97" s="3">
        <v>0</v>
      </c>
      <c r="Q97" s="3">
        <v>8</v>
      </c>
      <c r="R97" s="3">
        <v>1</v>
      </c>
      <c r="S97" s="3">
        <v>1</v>
      </c>
      <c r="T97" s="3">
        <v>1</v>
      </c>
      <c r="U97" s="3">
        <v>11</v>
      </c>
      <c r="V97" s="3">
        <v>0</v>
      </c>
    </row>
    <row r="98" spans="1:22" x14ac:dyDescent="0.2">
      <c r="A98" s="14" t="s">
        <v>9</v>
      </c>
      <c r="B98" s="15">
        <v>578</v>
      </c>
      <c r="C98" s="15">
        <v>0</v>
      </c>
      <c r="D98" s="15">
        <v>0</v>
      </c>
      <c r="E98" s="15">
        <v>0</v>
      </c>
      <c r="F98" s="15">
        <v>1</v>
      </c>
      <c r="G98" s="15">
        <v>0</v>
      </c>
      <c r="H98" s="15">
        <v>3</v>
      </c>
      <c r="I98" s="15">
        <v>3</v>
      </c>
      <c r="J98" s="15">
        <v>0</v>
      </c>
      <c r="K98" s="15">
        <v>0</v>
      </c>
      <c r="L98" s="15">
        <v>5</v>
      </c>
      <c r="M98" s="15">
        <v>303</v>
      </c>
      <c r="N98" s="15">
        <v>8</v>
      </c>
      <c r="O98" s="15">
        <v>162</v>
      </c>
      <c r="P98" s="15">
        <v>0</v>
      </c>
      <c r="Q98" s="15">
        <v>0</v>
      </c>
      <c r="R98" s="15">
        <v>8</v>
      </c>
      <c r="S98" s="15">
        <v>13</v>
      </c>
      <c r="T98" s="15">
        <v>0</v>
      </c>
      <c r="U98" s="15">
        <v>69</v>
      </c>
      <c r="V98" s="15">
        <v>3</v>
      </c>
    </row>
    <row r="99" spans="1:22" x14ac:dyDescent="0.2">
      <c r="A99" s="16" t="s">
        <v>76</v>
      </c>
      <c r="B99" s="3">
        <v>43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26</v>
      </c>
      <c r="N99" s="3">
        <v>0</v>
      </c>
      <c r="O99" s="3">
        <v>14</v>
      </c>
      <c r="P99" s="3">
        <v>0</v>
      </c>
      <c r="Q99" s="3">
        <v>0</v>
      </c>
      <c r="R99" s="3">
        <v>0</v>
      </c>
      <c r="S99" s="3">
        <v>1</v>
      </c>
      <c r="T99" s="3">
        <v>0</v>
      </c>
      <c r="U99" s="3">
        <v>2</v>
      </c>
      <c r="V99" s="3">
        <v>0</v>
      </c>
    </row>
    <row r="100" spans="1:22" x14ac:dyDescent="0.2">
      <c r="A100" s="16" t="s">
        <v>77</v>
      </c>
      <c r="B100" s="3">
        <v>25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11</v>
      </c>
      <c r="N100" s="3">
        <v>0</v>
      </c>
      <c r="O100" s="3">
        <v>13</v>
      </c>
      <c r="P100" s="3">
        <v>0</v>
      </c>
      <c r="Q100" s="3">
        <v>0</v>
      </c>
      <c r="R100" s="3">
        <v>0</v>
      </c>
      <c r="S100" s="3">
        <v>1</v>
      </c>
      <c r="T100" s="3">
        <v>0</v>
      </c>
      <c r="U100" s="3">
        <v>0</v>
      </c>
      <c r="V100" s="3">
        <v>0</v>
      </c>
    </row>
    <row r="101" spans="1:22" x14ac:dyDescent="0.2">
      <c r="A101" s="16" t="s">
        <v>78</v>
      </c>
      <c r="B101" s="3">
        <v>53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10</v>
      </c>
      <c r="N101" s="3">
        <v>3</v>
      </c>
      <c r="O101" s="3">
        <v>18</v>
      </c>
      <c r="P101" s="3">
        <v>0</v>
      </c>
      <c r="Q101" s="3">
        <v>0</v>
      </c>
      <c r="R101" s="3">
        <v>5</v>
      </c>
      <c r="S101" s="3">
        <v>1</v>
      </c>
      <c r="T101" s="3">
        <v>0</v>
      </c>
      <c r="U101" s="3">
        <v>16</v>
      </c>
      <c r="V101" s="3">
        <v>0</v>
      </c>
    </row>
    <row r="102" spans="1:22" x14ac:dyDescent="0.2">
      <c r="A102" s="16" t="s">
        <v>79</v>
      </c>
      <c r="B102" s="3">
        <v>80</v>
      </c>
      <c r="C102" s="3">
        <v>0</v>
      </c>
      <c r="D102" s="3">
        <v>0</v>
      </c>
      <c r="E102" s="3">
        <v>0</v>
      </c>
      <c r="F102" s="3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2</v>
      </c>
      <c r="M102" s="3">
        <v>30</v>
      </c>
      <c r="N102" s="3">
        <v>1</v>
      </c>
      <c r="O102" s="3">
        <v>37</v>
      </c>
      <c r="P102" s="3">
        <v>0</v>
      </c>
      <c r="Q102" s="3">
        <v>0</v>
      </c>
      <c r="R102" s="3">
        <v>1</v>
      </c>
      <c r="S102" s="3">
        <v>3</v>
      </c>
      <c r="T102" s="3">
        <v>0</v>
      </c>
      <c r="U102" s="3">
        <v>4</v>
      </c>
      <c r="V102" s="3">
        <v>1</v>
      </c>
    </row>
    <row r="103" spans="1:22" x14ac:dyDescent="0.2">
      <c r="A103" s="16" t="s">
        <v>80</v>
      </c>
      <c r="B103" s="3">
        <v>31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>
        <v>7</v>
      </c>
      <c r="N103" s="3">
        <v>1</v>
      </c>
      <c r="O103" s="3">
        <v>7</v>
      </c>
      <c r="P103" s="3">
        <v>0</v>
      </c>
      <c r="Q103" s="3">
        <v>0</v>
      </c>
      <c r="R103" s="3">
        <v>1</v>
      </c>
      <c r="S103" s="3">
        <v>2</v>
      </c>
      <c r="T103" s="3">
        <v>0</v>
      </c>
      <c r="U103" s="3">
        <v>12</v>
      </c>
      <c r="V103" s="3">
        <v>0</v>
      </c>
    </row>
    <row r="104" spans="1:22" x14ac:dyDescent="0.2">
      <c r="A104" s="16" t="s">
        <v>81</v>
      </c>
      <c r="B104" s="3">
        <v>68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1</v>
      </c>
      <c r="M104" s="3">
        <v>19</v>
      </c>
      <c r="N104" s="3">
        <v>2</v>
      </c>
      <c r="O104" s="3">
        <v>34</v>
      </c>
      <c r="P104" s="3">
        <v>0</v>
      </c>
      <c r="Q104" s="3">
        <v>0</v>
      </c>
      <c r="R104" s="3">
        <v>1</v>
      </c>
      <c r="S104" s="3">
        <v>2</v>
      </c>
      <c r="T104" s="3">
        <v>0</v>
      </c>
      <c r="U104" s="3">
        <v>9</v>
      </c>
      <c r="V104" s="3">
        <v>0</v>
      </c>
    </row>
    <row r="105" spans="1:22" x14ac:dyDescent="0.2">
      <c r="A105" s="16" t="s">
        <v>51</v>
      </c>
      <c r="B105" s="3">
        <v>19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1</v>
      </c>
      <c r="M105" s="3">
        <v>5</v>
      </c>
      <c r="N105" s="3">
        <v>0</v>
      </c>
      <c r="O105" s="3">
        <v>11</v>
      </c>
      <c r="P105" s="3">
        <v>0</v>
      </c>
      <c r="Q105" s="3">
        <v>0</v>
      </c>
      <c r="R105" s="3">
        <v>0</v>
      </c>
      <c r="S105" s="3">
        <v>1</v>
      </c>
      <c r="T105" s="3">
        <v>0</v>
      </c>
      <c r="U105" s="3">
        <v>1</v>
      </c>
      <c r="V105" s="3">
        <v>0</v>
      </c>
    </row>
    <row r="106" spans="1:22" x14ac:dyDescent="0.2">
      <c r="A106" s="16" t="s">
        <v>9</v>
      </c>
      <c r="B106" s="3">
        <v>259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3</v>
      </c>
      <c r="I106" s="3">
        <v>2</v>
      </c>
      <c r="J106" s="3">
        <v>0</v>
      </c>
      <c r="K106" s="3">
        <v>0</v>
      </c>
      <c r="L106" s="3">
        <v>1</v>
      </c>
      <c r="M106" s="3">
        <v>195</v>
      </c>
      <c r="N106" s="3">
        <v>1</v>
      </c>
      <c r="O106" s="3">
        <v>28</v>
      </c>
      <c r="P106" s="3">
        <v>0</v>
      </c>
      <c r="Q106" s="3">
        <v>0</v>
      </c>
      <c r="R106" s="3">
        <v>0</v>
      </c>
      <c r="S106" s="3">
        <v>2</v>
      </c>
      <c r="T106" s="3">
        <v>0</v>
      </c>
      <c r="U106" s="3">
        <v>25</v>
      </c>
      <c r="V106" s="3">
        <v>2</v>
      </c>
    </row>
    <row r="107" spans="1:22" x14ac:dyDescent="0.2">
      <c r="A107" s="14" t="s">
        <v>10</v>
      </c>
      <c r="B107" s="15">
        <v>244</v>
      </c>
      <c r="C107" s="15">
        <v>0</v>
      </c>
      <c r="D107" s="15">
        <v>0</v>
      </c>
      <c r="E107" s="15">
        <v>0</v>
      </c>
      <c r="F107" s="15">
        <v>0</v>
      </c>
      <c r="G107" s="15">
        <v>1</v>
      </c>
      <c r="H107" s="15">
        <v>1</v>
      </c>
      <c r="I107" s="15">
        <v>5</v>
      </c>
      <c r="J107" s="15">
        <v>1</v>
      </c>
      <c r="K107" s="15">
        <v>0</v>
      </c>
      <c r="L107" s="15">
        <v>0</v>
      </c>
      <c r="M107" s="15">
        <v>135</v>
      </c>
      <c r="N107" s="15">
        <v>2</v>
      </c>
      <c r="O107" s="15">
        <v>64</v>
      </c>
      <c r="P107" s="15">
        <v>12</v>
      </c>
      <c r="Q107" s="15">
        <v>0</v>
      </c>
      <c r="R107" s="15">
        <v>1</v>
      </c>
      <c r="S107" s="15">
        <v>6</v>
      </c>
      <c r="T107" s="15">
        <v>1</v>
      </c>
      <c r="U107" s="15">
        <v>14</v>
      </c>
      <c r="V107" s="15">
        <v>1</v>
      </c>
    </row>
    <row r="108" spans="1:22" x14ac:dyDescent="0.2">
      <c r="A108" s="16" t="s">
        <v>82</v>
      </c>
      <c r="B108" s="3">
        <v>28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12</v>
      </c>
      <c r="N108" s="3">
        <v>1</v>
      </c>
      <c r="O108" s="3">
        <v>8</v>
      </c>
      <c r="P108" s="3">
        <v>1</v>
      </c>
      <c r="Q108" s="3">
        <v>0</v>
      </c>
      <c r="R108" s="3">
        <v>1</v>
      </c>
      <c r="S108" s="3">
        <v>1</v>
      </c>
      <c r="T108" s="3">
        <v>1</v>
      </c>
      <c r="U108" s="3">
        <v>3</v>
      </c>
      <c r="V108" s="3">
        <v>0</v>
      </c>
    </row>
    <row r="109" spans="1:22" x14ac:dyDescent="0.2">
      <c r="A109" s="16" t="s">
        <v>83</v>
      </c>
      <c r="B109" s="3">
        <v>27</v>
      </c>
      <c r="C109" s="3">
        <v>0</v>
      </c>
      <c r="D109" s="3">
        <v>0</v>
      </c>
      <c r="E109" s="3">
        <v>0</v>
      </c>
      <c r="F109" s="3">
        <v>0</v>
      </c>
      <c r="G109" s="3">
        <v>1</v>
      </c>
      <c r="H109" s="3">
        <v>0</v>
      </c>
      <c r="I109" s="3">
        <v>2</v>
      </c>
      <c r="J109" s="3">
        <v>0</v>
      </c>
      <c r="K109" s="3">
        <v>0</v>
      </c>
      <c r="L109" s="3">
        <v>0</v>
      </c>
      <c r="M109" s="3">
        <v>7</v>
      </c>
      <c r="N109" s="3">
        <v>0</v>
      </c>
      <c r="O109" s="3">
        <v>14</v>
      </c>
      <c r="P109" s="3">
        <v>2</v>
      </c>
      <c r="Q109" s="3">
        <v>0</v>
      </c>
      <c r="R109" s="3">
        <v>0</v>
      </c>
      <c r="S109" s="3">
        <v>1</v>
      </c>
      <c r="T109" s="3">
        <v>0</v>
      </c>
      <c r="U109" s="3">
        <v>0</v>
      </c>
      <c r="V109" s="3">
        <v>0</v>
      </c>
    </row>
    <row r="110" spans="1:22" x14ac:dyDescent="0.2">
      <c r="A110" s="16" t="s">
        <v>84</v>
      </c>
      <c r="B110" s="3">
        <v>12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2</v>
      </c>
      <c r="N110" s="3">
        <v>1</v>
      </c>
      <c r="O110" s="3">
        <v>8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</v>
      </c>
      <c r="V110" s="3">
        <v>0</v>
      </c>
    </row>
    <row r="111" spans="1:22" x14ac:dyDescent="0.2">
      <c r="A111" s="16" t="s">
        <v>85</v>
      </c>
      <c r="B111" s="3">
        <v>23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10</v>
      </c>
      <c r="N111" s="3">
        <v>0</v>
      </c>
      <c r="O111" s="3">
        <v>11</v>
      </c>
      <c r="P111" s="3">
        <v>1</v>
      </c>
      <c r="Q111" s="3">
        <v>0</v>
      </c>
      <c r="R111" s="3">
        <v>0</v>
      </c>
      <c r="S111" s="3">
        <v>1</v>
      </c>
      <c r="T111" s="3">
        <v>0</v>
      </c>
      <c r="U111" s="3">
        <v>0</v>
      </c>
      <c r="V111" s="3">
        <v>0</v>
      </c>
    </row>
    <row r="112" spans="1:22" x14ac:dyDescent="0.2">
      <c r="A112" s="16" t="s">
        <v>86</v>
      </c>
      <c r="B112" s="3">
        <v>62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0</v>
      </c>
      <c r="M112" s="3">
        <v>34</v>
      </c>
      <c r="N112" s="3">
        <v>0</v>
      </c>
      <c r="O112" s="3">
        <v>10</v>
      </c>
      <c r="P112" s="3">
        <v>8</v>
      </c>
      <c r="Q112" s="3">
        <v>0</v>
      </c>
      <c r="R112" s="3">
        <v>0</v>
      </c>
      <c r="S112" s="3">
        <v>2</v>
      </c>
      <c r="T112" s="3">
        <v>0</v>
      </c>
      <c r="U112" s="3">
        <v>6</v>
      </c>
      <c r="V112" s="3">
        <v>1</v>
      </c>
    </row>
    <row r="113" spans="1:22" x14ac:dyDescent="0.2">
      <c r="A113" s="16" t="s">
        <v>87</v>
      </c>
      <c r="B113" s="3">
        <v>92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1</v>
      </c>
      <c r="I113" s="3">
        <v>3</v>
      </c>
      <c r="J113" s="3">
        <v>0</v>
      </c>
      <c r="K113" s="3">
        <v>0</v>
      </c>
      <c r="L113" s="3">
        <v>0</v>
      </c>
      <c r="M113" s="3">
        <v>70</v>
      </c>
      <c r="N113" s="3">
        <v>0</v>
      </c>
      <c r="O113" s="3">
        <v>13</v>
      </c>
      <c r="P113" s="3">
        <v>0</v>
      </c>
      <c r="Q113" s="3">
        <v>0</v>
      </c>
      <c r="R113" s="3">
        <v>0</v>
      </c>
      <c r="S113" s="3">
        <v>1</v>
      </c>
      <c r="T113" s="3">
        <v>0</v>
      </c>
      <c r="U113" s="3">
        <v>4</v>
      </c>
      <c r="V113" s="3">
        <v>0</v>
      </c>
    </row>
    <row r="114" spans="1:22" x14ac:dyDescent="0.2">
      <c r="A114" s="18" t="s">
        <v>92</v>
      </c>
      <c r="B114" s="18"/>
      <c r="C114" s="18"/>
      <c r="D114" s="18"/>
      <c r="E114" s="18"/>
    </row>
    <row r="115" spans="1:22" x14ac:dyDescent="0.2">
      <c r="A115" s="19" t="s">
        <v>29</v>
      </c>
      <c r="B115" s="19"/>
      <c r="C115" s="19"/>
      <c r="D115" s="19"/>
      <c r="E115" s="19"/>
    </row>
  </sheetData>
  <mergeCells count="8">
    <mergeCell ref="A114:E114"/>
    <mergeCell ref="A115:E115"/>
    <mergeCell ref="A4:J4"/>
    <mergeCell ref="A6:A7"/>
    <mergeCell ref="B6:B7"/>
    <mergeCell ref="C6:J6"/>
    <mergeCell ref="A29:E29"/>
    <mergeCell ref="A30:E30"/>
  </mergeCells>
  <printOptions horizontalCentered="1"/>
  <pageMargins left="0.11811023622047245" right="0.11811023622047245" top="0.15748031496062992" bottom="0.19685039370078741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PELIGRO_PIURA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PINEDO Torres</dc:creator>
  <cp:lastModifiedBy>Rony PINEDO Torres</cp:lastModifiedBy>
  <dcterms:created xsi:type="dcterms:W3CDTF">2024-03-18T14:54:30Z</dcterms:created>
  <dcterms:modified xsi:type="dcterms:W3CDTF">2025-08-25T14:05:42Z</dcterms:modified>
</cp:coreProperties>
</file>